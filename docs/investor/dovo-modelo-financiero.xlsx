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elmikebutron\dovo\docs\investor\"/>
    </mc:Choice>
  </mc:AlternateContent>
  <xr:revisionPtr revIDLastSave="0" documentId="13_ncr:1_{E9631977-76C1-4ED2-BB24-EF4E4B1B43D8}" xr6:coauthVersionLast="47" xr6:coauthVersionMax="47" xr10:uidLastSave="{00000000-0000-0000-0000-000000000000}"/>
  <bookViews>
    <workbookView xWindow="0" yWindow="2520" windowWidth="28800" windowHeight="585" xr2:uid="{00000000-000D-0000-FFFF-FFFF00000000}"/>
  </bookViews>
  <sheets>
    <sheet name="Portada" sheetId="1" r:id="rId1"/>
    <sheet name="Supuestos" sheetId="2" r:id="rId2"/>
    <sheet name="Proyeccion" sheetId="3" r:id="rId3"/>
    <sheet name="Unit Economics" sheetId="4" r:id="rId4"/>
    <sheet name="Mercado" sheetId="5" r:id="rId5"/>
    <sheet name="Hitos" sheetId="6" r:id="rId6"/>
  </sheets>
  <calcPr calcId="191029"/>
</workbook>
</file>

<file path=xl/calcChain.xml><?xml version="1.0" encoding="utf-8"?>
<calcChain xmlns="http://schemas.openxmlformats.org/spreadsheetml/2006/main">
  <c r="C11" i="5" l="1"/>
  <c r="C10" i="5"/>
  <c r="D8" i="5"/>
  <c r="D7" i="5"/>
  <c r="D6" i="5"/>
  <c r="E10" i="4"/>
  <c r="D10" i="4"/>
  <c r="C10" i="4"/>
  <c r="E8" i="4"/>
  <c r="D8" i="4"/>
  <c r="C8" i="4"/>
  <c r="E119" i="3"/>
  <c r="E6" i="4" s="1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B85" i="3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E84" i="3"/>
  <c r="C84" i="3"/>
  <c r="C85" i="3" s="1"/>
  <c r="B84" i="3"/>
  <c r="E80" i="3"/>
  <c r="D6" i="4" s="1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B45" i="3"/>
  <c r="C45" i="3" s="1"/>
  <c r="E41" i="3"/>
  <c r="C6" i="4" s="1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B6" i="3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D17" i="1"/>
  <c r="B46" i="3" l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C6" i="3"/>
  <c r="D6" i="3" s="1"/>
  <c r="H6" i="3" s="1"/>
  <c r="D45" i="3"/>
  <c r="C46" i="3"/>
  <c r="C86" i="3"/>
  <c r="D85" i="3"/>
  <c r="D84" i="3"/>
  <c r="C7" i="3"/>
  <c r="F6" i="3" l="1"/>
  <c r="C8" i="3"/>
  <c r="D7" i="3"/>
  <c r="D86" i="3"/>
  <c r="C87" i="3"/>
  <c r="H85" i="3"/>
  <c r="F85" i="3"/>
  <c r="C47" i="3"/>
  <c r="D46" i="3"/>
  <c r="H45" i="3"/>
  <c r="F45" i="3"/>
  <c r="F84" i="3"/>
  <c r="H84" i="3"/>
  <c r="J6" i="3"/>
  <c r="G6" i="3"/>
  <c r="I6" i="3"/>
  <c r="J45" i="3" l="1"/>
  <c r="I45" i="3"/>
  <c r="G45" i="3"/>
  <c r="F46" i="3"/>
  <c r="H46" i="3"/>
  <c r="J85" i="3"/>
  <c r="I85" i="3"/>
  <c r="G85" i="3"/>
  <c r="C88" i="3"/>
  <c r="D87" i="3"/>
  <c r="H7" i="3"/>
  <c r="F7" i="3"/>
  <c r="J84" i="3"/>
  <c r="I84" i="3"/>
  <c r="G84" i="3"/>
  <c r="C48" i="3"/>
  <c r="D47" i="3"/>
  <c r="H86" i="3"/>
  <c r="F86" i="3"/>
  <c r="D8" i="3"/>
  <c r="C9" i="3"/>
  <c r="C10" i="3" l="1"/>
  <c r="D9" i="3"/>
  <c r="H8" i="3"/>
  <c r="F8" i="3"/>
  <c r="I86" i="3"/>
  <c r="J86" i="3"/>
  <c r="G86" i="3"/>
  <c r="C49" i="3"/>
  <c r="D48" i="3"/>
  <c r="J7" i="3"/>
  <c r="I7" i="3"/>
  <c r="G7" i="3"/>
  <c r="H87" i="3"/>
  <c r="F87" i="3"/>
  <c r="I46" i="3"/>
  <c r="J46" i="3"/>
  <c r="G46" i="3"/>
  <c r="F47" i="3"/>
  <c r="H47" i="3"/>
  <c r="D88" i="3"/>
  <c r="C89" i="3"/>
  <c r="C90" i="3" l="1"/>
  <c r="D89" i="3"/>
  <c r="I87" i="3"/>
  <c r="J87" i="3" s="1"/>
  <c r="G87" i="3"/>
  <c r="F48" i="3"/>
  <c r="H48" i="3"/>
  <c r="H88" i="3"/>
  <c r="F88" i="3"/>
  <c r="J47" i="3"/>
  <c r="G47" i="3"/>
  <c r="I47" i="3"/>
  <c r="C50" i="3"/>
  <c r="D49" i="3"/>
  <c r="I8" i="3"/>
  <c r="J8" i="3"/>
  <c r="G8" i="3"/>
  <c r="H9" i="3"/>
  <c r="F9" i="3"/>
  <c r="D10" i="3"/>
  <c r="C11" i="3"/>
  <c r="C12" i="3" l="1"/>
  <c r="D11" i="3"/>
  <c r="H10" i="3"/>
  <c r="F10" i="3"/>
  <c r="J9" i="3"/>
  <c r="G9" i="3"/>
  <c r="I9" i="3"/>
  <c r="F49" i="3"/>
  <c r="H49" i="3"/>
  <c r="C51" i="3"/>
  <c r="D50" i="3"/>
  <c r="I88" i="3"/>
  <c r="J88" i="3" s="1"/>
  <c r="G88" i="3"/>
  <c r="G48" i="3"/>
  <c r="I48" i="3"/>
  <c r="J48" i="3" s="1"/>
  <c r="F89" i="3"/>
  <c r="H89" i="3"/>
  <c r="C91" i="3"/>
  <c r="D90" i="3"/>
  <c r="H90" i="3" l="1"/>
  <c r="F90" i="3"/>
  <c r="D91" i="3"/>
  <c r="C92" i="3"/>
  <c r="D51" i="3"/>
  <c r="C52" i="3"/>
  <c r="J10" i="3"/>
  <c r="I10" i="3"/>
  <c r="G10" i="3"/>
  <c r="H11" i="3"/>
  <c r="F11" i="3"/>
  <c r="I89" i="3"/>
  <c r="J89" i="3" s="1"/>
  <c r="G89" i="3"/>
  <c r="H50" i="3"/>
  <c r="F50" i="3"/>
  <c r="G49" i="3"/>
  <c r="I49" i="3"/>
  <c r="J49" i="3" s="1"/>
  <c r="D12" i="3"/>
  <c r="C13" i="3"/>
  <c r="D13" i="3" l="1"/>
  <c r="C14" i="3"/>
  <c r="F12" i="3"/>
  <c r="H12" i="3"/>
  <c r="I50" i="3"/>
  <c r="J50" i="3" s="1"/>
  <c r="G50" i="3"/>
  <c r="I11" i="3"/>
  <c r="J11" i="3" s="1"/>
  <c r="G11" i="3"/>
  <c r="C53" i="3"/>
  <c r="D52" i="3"/>
  <c r="H51" i="3"/>
  <c r="F51" i="3"/>
  <c r="C93" i="3"/>
  <c r="D92" i="3"/>
  <c r="F91" i="3"/>
  <c r="H91" i="3"/>
  <c r="G90" i="3"/>
  <c r="J90" i="3"/>
  <c r="I90" i="3"/>
  <c r="F92" i="3" l="1"/>
  <c r="H92" i="3"/>
  <c r="I51" i="3"/>
  <c r="J51" i="3"/>
  <c r="G51" i="3"/>
  <c r="G91" i="3"/>
  <c r="I91" i="3"/>
  <c r="J91" i="3"/>
  <c r="D93" i="3"/>
  <c r="C94" i="3"/>
  <c r="H52" i="3"/>
  <c r="F52" i="3"/>
  <c r="D53" i="3"/>
  <c r="C54" i="3"/>
  <c r="G12" i="3"/>
  <c r="I12" i="3"/>
  <c r="J12" i="3" s="1"/>
  <c r="C15" i="3"/>
  <c r="D14" i="3"/>
  <c r="F13" i="3"/>
  <c r="H13" i="3"/>
  <c r="G13" i="3" l="1"/>
  <c r="I13" i="3"/>
  <c r="J13" i="3" s="1"/>
  <c r="F14" i="3"/>
  <c r="H14" i="3"/>
  <c r="C16" i="3"/>
  <c r="D15" i="3"/>
  <c r="C55" i="3"/>
  <c r="D54" i="3"/>
  <c r="H53" i="3"/>
  <c r="F53" i="3"/>
  <c r="G52" i="3"/>
  <c r="I52" i="3"/>
  <c r="J52" i="3"/>
  <c r="D94" i="3"/>
  <c r="C95" i="3"/>
  <c r="H93" i="3"/>
  <c r="F93" i="3"/>
  <c r="G92" i="3"/>
  <c r="I92" i="3"/>
  <c r="J92" i="3" s="1"/>
  <c r="C96" i="3" l="1"/>
  <c r="D95" i="3"/>
  <c r="F54" i="3"/>
  <c r="H54" i="3"/>
  <c r="I93" i="3"/>
  <c r="J93" i="3" s="1"/>
  <c r="G93" i="3"/>
  <c r="H94" i="3"/>
  <c r="F94" i="3"/>
  <c r="I53" i="3"/>
  <c r="J53" i="3" s="1"/>
  <c r="G53" i="3"/>
  <c r="D55" i="3"/>
  <c r="C56" i="3"/>
  <c r="H15" i="3"/>
  <c r="F15" i="3"/>
  <c r="D16" i="3"/>
  <c r="C17" i="3"/>
  <c r="I14" i="3"/>
  <c r="J14" i="3" s="1"/>
  <c r="G14" i="3"/>
  <c r="D17" i="3" l="1"/>
  <c r="C18" i="3"/>
  <c r="H16" i="3"/>
  <c r="F16" i="3"/>
  <c r="D56" i="3"/>
  <c r="C57" i="3"/>
  <c r="I15" i="3"/>
  <c r="J15" i="3" s="1"/>
  <c r="G15" i="3"/>
  <c r="F55" i="3"/>
  <c r="H55" i="3"/>
  <c r="I94" i="3"/>
  <c r="J94" i="3"/>
  <c r="G94" i="3"/>
  <c r="I54" i="3"/>
  <c r="J54" i="3" s="1"/>
  <c r="G54" i="3"/>
  <c r="H95" i="3"/>
  <c r="E13" i="6"/>
  <c r="F95" i="3"/>
  <c r="D96" i="3"/>
  <c r="C97" i="3"/>
  <c r="H96" i="3" l="1"/>
  <c r="F96" i="3"/>
  <c r="I95" i="3"/>
  <c r="G95" i="3"/>
  <c r="J95" i="3"/>
  <c r="E5" i="6"/>
  <c r="E13" i="1" s="1"/>
  <c r="F56" i="3"/>
  <c r="D13" i="6"/>
  <c r="H56" i="3"/>
  <c r="C98" i="3"/>
  <c r="D97" i="3"/>
  <c r="C58" i="3"/>
  <c r="D57" i="3"/>
  <c r="D18" i="3"/>
  <c r="C19" i="3"/>
  <c r="G55" i="3"/>
  <c r="I55" i="3"/>
  <c r="J55" i="3" s="1"/>
  <c r="I16" i="3"/>
  <c r="J16" i="3" s="1"/>
  <c r="G16" i="3"/>
  <c r="H17" i="3"/>
  <c r="C13" i="6"/>
  <c r="F17" i="3"/>
  <c r="F57" i="3" l="1"/>
  <c r="H57" i="3"/>
  <c r="H18" i="3"/>
  <c r="F18" i="3"/>
  <c r="F97" i="3"/>
  <c r="H97" i="3"/>
  <c r="C59" i="3"/>
  <c r="D58" i="3"/>
  <c r="G56" i="3"/>
  <c r="D5" i="6"/>
  <c r="D13" i="1" s="1"/>
  <c r="I56" i="3"/>
  <c r="J56" i="3" s="1"/>
  <c r="I96" i="3"/>
  <c r="J96" i="3" s="1"/>
  <c r="G96" i="3"/>
  <c r="I17" i="3"/>
  <c r="J17" i="3"/>
  <c r="G17" i="3"/>
  <c r="C5" i="6"/>
  <c r="C13" i="1" s="1"/>
  <c r="C20" i="3"/>
  <c r="D19" i="3"/>
  <c r="C99" i="3"/>
  <c r="D98" i="3"/>
  <c r="F19" i="3" l="1"/>
  <c r="H19" i="3"/>
  <c r="F98" i="3"/>
  <c r="H98" i="3"/>
  <c r="D20" i="3"/>
  <c r="C21" i="3"/>
  <c r="D99" i="3"/>
  <c r="C100" i="3"/>
  <c r="H58" i="3"/>
  <c r="F58" i="3"/>
  <c r="D59" i="3"/>
  <c r="C60" i="3"/>
  <c r="I97" i="3"/>
  <c r="J97" i="3" s="1"/>
  <c r="G97" i="3"/>
  <c r="I18" i="3"/>
  <c r="J18" i="3" s="1"/>
  <c r="G18" i="3"/>
  <c r="G57" i="3"/>
  <c r="I57" i="3"/>
  <c r="J57" i="3" s="1"/>
  <c r="D60" i="3" l="1"/>
  <c r="C61" i="3"/>
  <c r="H59" i="3"/>
  <c r="F59" i="3"/>
  <c r="I58" i="3"/>
  <c r="J58" i="3" s="1"/>
  <c r="G58" i="3"/>
  <c r="C101" i="3"/>
  <c r="D100" i="3"/>
  <c r="F99" i="3"/>
  <c r="H99" i="3"/>
  <c r="D21" i="3"/>
  <c r="C22" i="3"/>
  <c r="H20" i="3"/>
  <c r="F20" i="3"/>
  <c r="G98" i="3"/>
  <c r="I98" i="3"/>
  <c r="J98" i="3" s="1"/>
  <c r="I19" i="3"/>
  <c r="J19" i="3" s="1"/>
  <c r="G19" i="3"/>
  <c r="H100" i="3" l="1"/>
  <c r="F100" i="3"/>
  <c r="F21" i="3"/>
  <c r="H21" i="3"/>
  <c r="G99" i="3"/>
  <c r="I99" i="3"/>
  <c r="J99" i="3" s="1"/>
  <c r="I20" i="3"/>
  <c r="J20" i="3" s="1"/>
  <c r="G20" i="3"/>
  <c r="C23" i="3"/>
  <c r="D22" i="3"/>
  <c r="C102" i="3"/>
  <c r="D101" i="3"/>
  <c r="I59" i="3"/>
  <c r="J59" i="3" s="1"/>
  <c r="G59" i="3"/>
  <c r="D61" i="3"/>
  <c r="C62" i="3"/>
  <c r="H60" i="3"/>
  <c r="F60" i="3"/>
  <c r="H101" i="3" l="1"/>
  <c r="F101" i="3"/>
  <c r="D102" i="3"/>
  <c r="C103" i="3"/>
  <c r="I60" i="3"/>
  <c r="G60" i="3"/>
  <c r="J60" i="3"/>
  <c r="C63" i="3"/>
  <c r="D62" i="3"/>
  <c r="H61" i="3"/>
  <c r="F61" i="3"/>
  <c r="F22" i="3"/>
  <c r="H22" i="3"/>
  <c r="C24" i="3"/>
  <c r="D23" i="3"/>
  <c r="G21" i="3"/>
  <c r="I21" i="3"/>
  <c r="J21" i="3" s="1"/>
  <c r="G100" i="3"/>
  <c r="I100" i="3"/>
  <c r="J100" i="3" s="1"/>
  <c r="D24" i="3" l="1"/>
  <c r="C25" i="3"/>
  <c r="F62" i="3"/>
  <c r="H62" i="3"/>
  <c r="C104" i="3"/>
  <c r="D103" i="3"/>
  <c r="H23" i="3"/>
  <c r="F23" i="3"/>
  <c r="G22" i="3"/>
  <c r="I22" i="3"/>
  <c r="J22" i="3" s="1"/>
  <c r="I61" i="3"/>
  <c r="J61" i="3" s="1"/>
  <c r="G61" i="3"/>
  <c r="C64" i="3"/>
  <c r="D63" i="3"/>
  <c r="H102" i="3"/>
  <c r="F102" i="3"/>
  <c r="I101" i="3"/>
  <c r="J101" i="3" s="1"/>
  <c r="G101" i="3"/>
  <c r="F63" i="3" l="1"/>
  <c r="H63" i="3"/>
  <c r="D64" i="3"/>
  <c r="C65" i="3"/>
  <c r="H103" i="3"/>
  <c r="F103" i="3"/>
  <c r="D25" i="3"/>
  <c r="C26" i="3"/>
  <c r="I102" i="3"/>
  <c r="J102" i="3"/>
  <c r="G102" i="3"/>
  <c r="I23" i="3"/>
  <c r="J23" i="3" s="1"/>
  <c r="G23" i="3"/>
  <c r="D104" i="3"/>
  <c r="C105" i="3"/>
  <c r="I62" i="3"/>
  <c r="J62" i="3" s="1"/>
  <c r="G62" i="3"/>
  <c r="H24" i="3"/>
  <c r="F24" i="3"/>
  <c r="H104" i="3" l="1"/>
  <c r="F104" i="3"/>
  <c r="I24" i="3"/>
  <c r="J24" i="3"/>
  <c r="G24" i="3"/>
  <c r="C106" i="3"/>
  <c r="D105" i="3"/>
  <c r="D26" i="3"/>
  <c r="C27" i="3"/>
  <c r="H25" i="3"/>
  <c r="F25" i="3"/>
  <c r="I103" i="3"/>
  <c r="J103" i="3" s="1"/>
  <c r="G103" i="3"/>
  <c r="C66" i="3"/>
  <c r="D65" i="3"/>
  <c r="F64" i="3"/>
  <c r="H64" i="3"/>
  <c r="G63" i="3"/>
  <c r="I63" i="3"/>
  <c r="J63" i="3" s="1"/>
  <c r="F65" i="3" l="1"/>
  <c r="H65" i="3"/>
  <c r="I25" i="3"/>
  <c r="G25" i="3"/>
  <c r="J25" i="3"/>
  <c r="C28" i="3"/>
  <c r="D27" i="3"/>
  <c r="F105" i="3"/>
  <c r="H105" i="3"/>
  <c r="I104" i="3"/>
  <c r="J104" i="3" s="1"/>
  <c r="G104" i="3"/>
  <c r="G64" i="3"/>
  <c r="I64" i="3"/>
  <c r="J64" i="3"/>
  <c r="C67" i="3"/>
  <c r="D66" i="3"/>
  <c r="H26" i="3"/>
  <c r="F26" i="3"/>
  <c r="D106" i="3"/>
  <c r="C107" i="3"/>
  <c r="C108" i="3" l="1"/>
  <c r="D107" i="3"/>
  <c r="I26" i="3"/>
  <c r="J26" i="3" s="1"/>
  <c r="G26" i="3"/>
  <c r="H66" i="3"/>
  <c r="F66" i="3"/>
  <c r="D67" i="3"/>
  <c r="C68" i="3"/>
  <c r="I105" i="3"/>
  <c r="J105" i="3" s="1"/>
  <c r="G105" i="3"/>
  <c r="H27" i="3"/>
  <c r="F27" i="3"/>
  <c r="H106" i="3"/>
  <c r="F106" i="3"/>
  <c r="D28" i="3"/>
  <c r="C29" i="3"/>
  <c r="I65" i="3"/>
  <c r="J65" i="3" s="1"/>
  <c r="G65" i="3"/>
  <c r="D29" i="3" l="1"/>
  <c r="C30" i="3"/>
  <c r="G106" i="3"/>
  <c r="I106" i="3"/>
  <c r="J106" i="3" s="1"/>
  <c r="I27" i="3"/>
  <c r="G27" i="3"/>
  <c r="J27" i="3"/>
  <c r="H67" i="3"/>
  <c r="F67" i="3"/>
  <c r="F28" i="3"/>
  <c r="H28" i="3"/>
  <c r="C69" i="3"/>
  <c r="D68" i="3"/>
  <c r="I66" i="3"/>
  <c r="J66" i="3" s="1"/>
  <c r="G66" i="3"/>
  <c r="F107" i="3"/>
  <c r="E14" i="6"/>
  <c r="H107" i="3"/>
  <c r="C109" i="3"/>
  <c r="D108" i="3"/>
  <c r="C110" i="3" l="1"/>
  <c r="D109" i="3"/>
  <c r="G107" i="3"/>
  <c r="E6" i="6"/>
  <c r="E14" i="1" s="1"/>
  <c r="I107" i="3"/>
  <c r="J107" i="3" s="1"/>
  <c r="D69" i="3"/>
  <c r="C70" i="3"/>
  <c r="H108" i="3"/>
  <c r="F108" i="3"/>
  <c r="H68" i="3"/>
  <c r="D14" i="6"/>
  <c r="F68" i="3"/>
  <c r="G28" i="3"/>
  <c r="I28" i="3"/>
  <c r="J28" i="3" s="1"/>
  <c r="I67" i="3"/>
  <c r="J67" i="3"/>
  <c r="G67" i="3"/>
  <c r="C31" i="3"/>
  <c r="D30" i="3"/>
  <c r="F29" i="3"/>
  <c r="C14" i="6"/>
  <c r="H29" i="3"/>
  <c r="D31" i="3" l="1"/>
  <c r="C32" i="3"/>
  <c r="F30" i="3"/>
  <c r="H30" i="3"/>
  <c r="I68" i="3"/>
  <c r="J68" i="3" s="1"/>
  <c r="G68" i="3"/>
  <c r="D6" i="6"/>
  <c r="D14" i="1" s="1"/>
  <c r="G108" i="3"/>
  <c r="I108" i="3"/>
  <c r="J108" i="3" s="1"/>
  <c r="C71" i="3"/>
  <c r="D70" i="3"/>
  <c r="H109" i="3"/>
  <c r="F109" i="3"/>
  <c r="G29" i="3"/>
  <c r="C6" i="6"/>
  <c r="C14" i="1" s="1"/>
  <c r="I29" i="3"/>
  <c r="J29" i="3" s="1"/>
  <c r="H69" i="3"/>
  <c r="F69" i="3"/>
  <c r="D110" i="3"/>
  <c r="C111" i="3"/>
  <c r="D111" i="3" l="1"/>
  <c r="C112" i="3"/>
  <c r="H70" i="3"/>
  <c r="F70" i="3"/>
  <c r="I109" i="3"/>
  <c r="J109" i="3" s="1"/>
  <c r="G109" i="3"/>
  <c r="H110" i="3"/>
  <c r="F110" i="3"/>
  <c r="I69" i="3"/>
  <c r="J69" i="3" s="1"/>
  <c r="G69" i="3"/>
  <c r="D71" i="3"/>
  <c r="C72" i="3"/>
  <c r="I30" i="3"/>
  <c r="J30" i="3" s="1"/>
  <c r="G30" i="3"/>
  <c r="D32" i="3"/>
  <c r="C33" i="3"/>
  <c r="H31" i="3"/>
  <c r="F31" i="3"/>
  <c r="D72" i="3" l="1"/>
  <c r="C73" i="3"/>
  <c r="I31" i="3"/>
  <c r="J31" i="3" s="1"/>
  <c r="G31" i="3"/>
  <c r="C34" i="3"/>
  <c r="D33" i="3"/>
  <c r="H71" i="3"/>
  <c r="F71" i="3"/>
  <c r="I110" i="3"/>
  <c r="J110" i="3"/>
  <c r="G110" i="3"/>
  <c r="D112" i="3"/>
  <c r="C113" i="3"/>
  <c r="H32" i="3"/>
  <c r="F32" i="3"/>
  <c r="I70" i="3"/>
  <c r="J70" i="3"/>
  <c r="G70" i="3"/>
  <c r="H111" i="3"/>
  <c r="F111" i="3"/>
  <c r="G111" i="3" l="1"/>
  <c r="I111" i="3"/>
  <c r="J111" i="3" s="1"/>
  <c r="I32" i="3"/>
  <c r="J32" i="3" s="1"/>
  <c r="G32" i="3"/>
  <c r="C114" i="3"/>
  <c r="D113" i="3"/>
  <c r="H112" i="3"/>
  <c r="F112" i="3"/>
  <c r="I71" i="3"/>
  <c r="J71" i="3" s="1"/>
  <c r="G71" i="3"/>
  <c r="H33" i="3"/>
  <c r="F33" i="3"/>
  <c r="D34" i="3"/>
  <c r="C35" i="3"/>
  <c r="C74" i="3"/>
  <c r="D73" i="3"/>
  <c r="F72" i="3"/>
  <c r="H72" i="3"/>
  <c r="H34" i="3" l="1"/>
  <c r="F34" i="3"/>
  <c r="F73" i="3"/>
  <c r="H73" i="3"/>
  <c r="C75" i="3"/>
  <c r="D74" i="3"/>
  <c r="I33" i="3"/>
  <c r="J33" i="3" s="1"/>
  <c r="G33" i="3"/>
  <c r="I112" i="3"/>
  <c r="J112" i="3" s="1"/>
  <c r="G112" i="3"/>
  <c r="D114" i="3"/>
  <c r="C115" i="3"/>
  <c r="G72" i="3"/>
  <c r="I72" i="3"/>
  <c r="J72" i="3"/>
  <c r="C36" i="3"/>
  <c r="D35" i="3"/>
  <c r="F113" i="3"/>
  <c r="H113" i="3"/>
  <c r="F35" i="3" l="1"/>
  <c r="H35" i="3"/>
  <c r="C116" i="3"/>
  <c r="D115" i="3"/>
  <c r="D75" i="3"/>
  <c r="C76" i="3"/>
  <c r="I113" i="3"/>
  <c r="J113" i="3" s="1"/>
  <c r="G113" i="3"/>
  <c r="C37" i="3"/>
  <c r="D36" i="3"/>
  <c r="H74" i="3"/>
  <c r="F74" i="3"/>
  <c r="G73" i="3"/>
  <c r="I73" i="3"/>
  <c r="J73" i="3" s="1"/>
  <c r="I34" i="3"/>
  <c r="J34" i="3" s="1"/>
  <c r="G34" i="3"/>
  <c r="H114" i="3"/>
  <c r="F114" i="3"/>
  <c r="J114" i="3" l="1"/>
  <c r="I114" i="3"/>
  <c r="G114" i="3"/>
  <c r="D37" i="3"/>
  <c r="C38" i="3"/>
  <c r="I74" i="3"/>
  <c r="J74" i="3" s="1"/>
  <c r="G74" i="3"/>
  <c r="F36" i="3"/>
  <c r="H36" i="3"/>
  <c r="H75" i="3"/>
  <c r="F75" i="3"/>
  <c r="F115" i="3"/>
  <c r="H115" i="3"/>
  <c r="D76" i="3"/>
  <c r="C77" i="3"/>
  <c r="C117" i="3"/>
  <c r="D116" i="3"/>
  <c r="I35" i="3"/>
  <c r="J35" i="3" s="1"/>
  <c r="G35" i="3"/>
  <c r="C118" i="3" l="1"/>
  <c r="D117" i="3"/>
  <c r="H116" i="3"/>
  <c r="F116" i="3"/>
  <c r="D77" i="3"/>
  <c r="C78" i="3"/>
  <c r="H76" i="3"/>
  <c r="F76" i="3"/>
  <c r="G115" i="3"/>
  <c r="I115" i="3"/>
  <c r="J115" i="3" s="1"/>
  <c r="I75" i="3"/>
  <c r="J75" i="3"/>
  <c r="G75" i="3"/>
  <c r="I36" i="3"/>
  <c r="J36" i="3" s="1"/>
  <c r="G36" i="3"/>
  <c r="C39" i="3"/>
  <c r="D38" i="3"/>
  <c r="F37" i="3"/>
  <c r="H37" i="3"/>
  <c r="F38" i="3" l="1"/>
  <c r="H38" i="3"/>
  <c r="C79" i="3"/>
  <c r="D78" i="3"/>
  <c r="G37" i="3"/>
  <c r="I37" i="3"/>
  <c r="J37" i="3" s="1"/>
  <c r="C40" i="3"/>
  <c r="D39" i="3"/>
  <c r="G76" i="3"/>
  <c r="I76" i="3"/>
  <c r="J76" i="3" s="1"/>
  <c r="H77" i="3"/>
  <c r="F77" i="3"/>
  <c r="G116" i="3"/>
  <c r="I116" i="3"/>
  <c r="J116" i="3" s="1"/>
  <c r="H117" i="3"/>
  <c r="F117" i="3"/>
  <c r="D118" i="3"/>
  <c r="C119" i="3"/>
  <c r="D119" i="3" s="1"/>
  <c r="H118" i="3" l="1"/>
  <c r="F118" i="3"/>
  <c r="D40" i="3"/>
  <c r="C41" i="3"/>
  <c r="D41" i="3" s="1"/>
  <c r="E15" i="6"/>
  <c r="H119" i="3"/>
  <c r="F119" i="3"/>
  <c r="I77" i="3"/>
  <c r="J77" i="3" s="1"/>
  <c r="G77" i="3"/>
  <c r="F78" i="3"/>
  <c r="H78" i="3"/>
  <c r="I117" i="3"/>
  <c r="J117" i="3" s="1"/>
  <c r="G117" i="3"/>
  <c r="H39" i="3"/>
  <c r="F39" i="3"/>
  <c r="D79" i="3"/>
  <c r="C80" i="3"/>
  <c r="G38" i="3"/>
  <c r="I38" i="3"/>
  <c r="J38" i="3" s="1"/>
  <c r="F79" i="3" l="1"/>
  <c r="H79" i="3"/>
  <c r="I39" i="3"/>
  <c r="J39" i="3" s="1"/>
  <c r="G39" i="3"/>
  <c r="I78" i="3"/>
  <c r="J78" i="3" s="1"/>
  <c r="G78" i="3"/>
  <c r="I119" i="3"/>
  <c r="G119" i="3"/>
  <c r="E8" i="6" s="1"/>
  <c r="E16" i="1" s="1"/>
  <c r="J119" i="3"/>
  <c r="E7" i="4" s="1"/>
  <c r="E9" i="4" s="1"/>
  <c r="E7" i="6"/>
  <c r="E15" i="1" s="1"/>
  <c r="C15" i="6"/>
  <c r="H41" i="3"/>
  <c r="F41" i="3"/>
  <c r="H40" i="3"/>
  <c r="F40" i="3"/>
  <c r="D80" i="3"/>
  <c r="C12" i="5"/>
  <c r="I118" i="3"/>
  <c r="J118" i="3" s="1"/>
  <c r="G118" i="3"/>
  <c r="I40" i="3" l="1"/>
  <c r="J40" i="3" s="1"/>
  <c r="G40" i="3"/>
  <c r="G41" i="3"/>
  <c r="C8" i="6" s="1"/>
  <c r="C16" i="1" s="1"/>
  <c r="I41" i="3"/>
  <c r="J41" i="3" s="1"/>
  <c r="C7" i="4" s="1"/>
  <c r="C9" i="4" s="1"/>
  <c r="C7" i="6"/>
  <c r="C15" i="1" s="1"/>
  <c r="D15" i="6"/>
  <c r="F80" i="3"/>
  <c r="H80" i="3"/>
  <c r="E11" i="4"/>
  <c r="E12" i="4" s="1"/>
  <c r="E13" i="4"/>
  <c r="I79" i="3"/>
  <c r="J79" i="3" s="1"/>
  <c r="G79" i="3"/>
  <c r="G80" i="3" l="1"/>
  <c r="D8" i="6" s="1"/>
  <c r="D16" i="1" s="1"/>
  <c r="D7" i="6"/>
  <c r="D15" i="1" s="1"/>
  <c r="I80" i="3"/>
  <c r="J80" i="3" s="1"/>
  <c r="D7" i="4" s="1"/>
  <c r="D9" i="4" s="1"/>
  <c r="C13" i="4"/>
  <c r="C11" i="4"/>
  <c r="C24" i="4" l="1"/>
  <c r="C23" i="4"/>
  <c r="C22" i="4"/>
  <c r="C21" i="4"/>
  <c r="C19" i="4"/>
  <c r="C20" i="4"/>
  <c r="D11" i="4"/>
  <c r="D12" i="4" s="1"/>
  <c r="D13" i="4"/>
  <c r="C12" i="4"/>
  <c r="D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dovo model</author>
  </authors>
  <commentList>
    <comment ref="C9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SENSIBILIDAD #1: la racha del duo</t>
        </r>
      </text>
    </comment>
  </commentList>
</comments>
</file>

<file path=xl/sharedStrings.xml><?xml version="1.0" encoding="utf-8"?>
<sst xmlns="http://schemas.openxmlformats.org/spreadsheetml/2006/main" count="141" uniqueCount="101">
  <si>
    <t>dovo  |  Modelo Financiero de Inversionista</t>
  </si>
  <si>
    <t>Fitness para DUOS  ·  dovofit.com  ·  Pre-seed  ·  Mexico (MXN)</t>
  </si>
  <si>
    <t>SENSIBILIDAD #1 = CHURN. La racha del duo es la tesis: si el churn baja de ~12% a ~5%, el LTV y el LTV:CAC se multiplican. Es la palanca que mas mueve el valor del negocio.</t>
  </si>
  <si>
    <t>Unidad de negocio</t>
  </si>
  <si>
    <t>1 DUO = 2 personas = 1 suscripcion</t>
  </si>
  <si>
    <t>Free (primeros 200 duos)  -&gt;  Pro ($99 MXN/mes/duo)  -&gt;  Premium</t>
  </si>
  <si>
    <t>Margen bruto objetivo &gt; 80%</t>
  </si>
  <si>
    <t>Hito</t>
  </si>
  <si>
    <t>Conservador</t>
  </si>
  <si>
    <t>Base</t>
  </si>
  <si>
    <t>Agresivo</t>
  </si>
  <si>
    <t>MRR M12</t>
  </si>
  <si>
    <t>MRR M24</t>
  </si>
  <si>
    <t>MRR M36</t>
  </si>
  <si>
    <t>ARR M36</t>
  </si>
  <si>
    <t>LTV:CAC (Base)</t>
  </si>
  <si>
    <t>Payback (Base)</t>
  </si>
  <si>
    <t>Leyenda:</t>
  </si>
  <si>
    <t xml:space="preserve">  Celda EDITABLE (input)</t>
  </si>
  <si>
    <t xml:space="preserve">  Formula calculada</t>
  </si>
  <si>
    <t xml:space="preserve">  Link a otra hoja</t>
  </si>
  <si>
    <t>Todas las cifras en MXN. Mercado e hitos = SUPUESTOS pre-seed, no garantias.</t>
  </si>
  <si>
    <t>Supuestos  (celdas amarillas = editables)</t>
  </si>
  <si>
    <t>Cambia las celdas amarillas y todo el modelo se recalcula. Sensibilidad #1 = Churn mensual. Adquisicion (nuevos duos M1 y crecimiento MoM) esta calibrada para reproducir los hitos de MRR objetivo; conversion, churn, precio y costos son palancas de negocio editables.</t>
  </si>
  <si>
    <t>Variable</t>
  </si>
  <si>
    <t>Nuevos duos / mes (M1)</t>
  </si>
  <si>
    <t>Adquisicion inicial mes 1 (calibrado a hitos de MRR)</t>
  </si>
  <si>
    <t>Crecimiento MoM (nuevos)</t>
  </si>
  <si>
    <t>Crecimiento mensual de los nuevos duos (calibrado a hitos)</t>
  </si>
  <si>
    <t>Conversion Free -&gt; Pro</t>
  </si>
  <si>
    <t>% de duos activos que pagan</t>
  </si>
  <si>
    <t>Churn mensual (pagos)</t>
  </si>
  <si>
    <t>SENSIBILIDAD #1: la racha del duo</t>
  </si>
  <si>
    <t>Costo variable / duo / mes</t>
  </si>
  <si>
    <t>Infra, pasarela, soporte por duo de pago</t>
  </si>
  <si>
    <t>CAC por duo</t>
  </si>
  <si>
    <t>Costo de adquisicion por duo</t>
  </si>
  <si>
    <t>Precio / duo / mes</t>
  </si>
  <si>
    <t>Plan Pro mensual por duo</t>
  </si>
  <si>
    <t>Mix anual (descuento)</t>
  </si>
  <si>
    <t>% de pagos en plan anual con descuento</t>
  </si>
  <si>
    <t>Free iniciales (no pagan)</t>
  </si>
  <si>
    <t>Primeros 200 duos en Free</t>
  </si>
  <si>
    <t>Descuento del plan anual</t>
  </si>
  <si>
    <t>Descuento aplicado al precio anual</t>
  </si>
  <si>
    <t>ARPU efectivo = precio * (1 - mix_anual * descuento_anual). El plan anual reduce el ingreso mensual promedio por el descuento.</t>
  </si>
  <si>
    <t>Proyeccion a 36 meses por escenario</t>
  </si>
  <si>
    <t>Todo referencia la hoja Supuestos. ARPU efectivo ajustado por mix anual. Free no paga; conversion aplica sobre activos por arriba de los Free iniciales.</t>
  </si>
  <si>
    <t>Escenario: Conservador</t>
  </si>
  <si>
    <t>Mes</t>
  </si>
  <si>
    <t>Nuevos duos</t>
  </si>
  <si>
    <t>Duos activos</t>
  </si>
  <si>
    <t>Duos de pago</t>
  </si>
  <si>
    <t>ARPU efectivo</t>
  </si>
  <si>
    <t>MRR</t>
  </si>
  <si>
    <t>ARR</t>
  </si>
  <si>
    <t>Costo var. total</t>
  </si>
  <si>
    <t>Margen bruto</t>
  </si>
  <si>
    <t>Margen %</t>
  </si>
  <si>
    <t>Escenario: Base</t>
  </si>
  <si>
    <t>Escenario: Agresivo</t>
  </si>
  <si>
    <t>Unit Economics por escenario</t>
  </si>
  <si>
    <t>LTV = (ARPU_ef * margen%) / churn.  Payback = CAC / (ARPU_ef * margen%).  Margen% en estado estable (M36).</t>
  </si>
  <si>
    <t>Metrica</t>
  </si>
  <si>
    <t>ARPU efectivo (MXN/mes)</t>
  </si>
  <si>
    <t>Margen bruto %</t>
  </si>
  <si>
    <t>Churn mensual</t>
  </si>
  <si>
    <t>Contribucion / duo / mes</t>
  </si>
  <si>
    <t>CAC por duo (MXN)</t>
  </si>
  <si>
    <t>LTV (MXN)</t>
  </si>
  <si>
    <t>LTV : CAC</t>
  </si>
  <si>
    <t>Payback (meses)</t>
  </si>
  <si>
    <t>Base esperado: LTV ~$1,512 MXN, LTV:CAC ~6.0x, payback ~3.3 meses. La sensibilidad mas fuerte es el churn.</t>
  </si>
  <si>
    <t>Sensibilidad: LTV (Base) vs churn mensual</t>
  </si>
  <si>
    <t>Misma contribucion/duo del escenario Base; solo cambia el churn. Bajar churn de 12% a 5% mas que duplica el LTV.</t>
  </si>
  <si>
    <t>Mercado Mexico  [SUPUESTOS]</t>
  </si>
  <si>
    <t>Cifras de mercado son SUPUESTOS pre-seed con fines de dimensionamiento, no proyecciones. Unidad = DUO (2 personas).</t>
  </si>
  <si>
    <t>Nivel</t>
  </si>
  <si>
    <t>Duos</t>
  </si>
  <si>
    <t>Personas (~x2)</t>
  </si>
  <si>
    <t>TAM (total)</t>
  </si>
  <si>
    <t>Total de duos fitness potenciales en MX (~8-10M personas activas)</t>
  </si>
  <si>
    <t>SAM (alcanzable)</t>
  </si>
  <si>
    <t>Segmento alcanzable: smartphone + intencion de entrenar en pareja/duo</t>
  </si>
  <si>
    <t>SOM 36m (objetivo)</t>
  </si>
  <si>
    <t>Captura realista a 36 meses (rango 5K-25K duos)</t>
  </si>
  <si>
    <t>SOM / SAM</t>
  </si>
  <si>
    <t>SAM / TAM</t>
  </si>
  <si>
    <t>SOM (duos) Base @ M36</t>
  </si>
  <si>
    <t>Duos activos del escenario Base en M36 (link a Proyeccion) para comparar vs SOM supuesto.</t>
  </si>
  <si>
    <t>Rangos de referencia: TAM ~4-5M duos | SAM ~750K-1M duos | SOM 36m ~5K-25K duos. Ajustables arriba.</t>
  </si>
  <si>
    <t>Hitos de MRR / ARR por escenario</t>
  </si>
  <si>
    <t>Todo referencia la hoja Proyeccion (links verdes). Cambia Supuestos y los hitos se mueven.</t>
  </si>
  <si>
    <t>Guia objetivo: MRR M12 ~1.4K / 6.9K / 26.8K</t>
  </si>
  <si>
    <t>MRR M24 ~6.3K / 36.7K / 182K</t>
  </si>
  <si>
    <t>MRR M36 ~17.2K / 109K / 478K</t>
  </si>
  <si>
    <t>ARR M36 ~207K / 1.31M / 5.74M</t>
  </si>
  <si>
    <t>Duos de pago por hito</t>
  </si>
  <si>
    <t>Duos pago M12</t>
  </si>
  <si>
    <t>Duos pago M24</t>
  </si>
  <si>
    <t>Duos pago M36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</si>
</sst>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\(&quot;$&quot;#,##0\);&quot;-&quot;"/>
    <numFmt numFmtId="165" formatCode="0.0&quot;x&quot;"/>
    <numFmt numFmtId="166" formatCode="0.0&quot; m&quot;"/>
    <numFmt numFmtId="167" formatCode="#,##0;\(#,##0\);&quot;-&quot;"/>
    <numFmt numFmtId="168" formatCode="0.0%;\(0.0%\);&quot;-&quot;"/>
    <numFmt numFmtId="169" formatCode="&quot;$&quot;#,##0.0;\(&quot;$&quot;#,##0.0\);&quot;-&quot;"/>
  </numFmts>
  <fonts count="17" x14ac:knownFonts="1">
    <font>
      <sz val="11"/>
      <color theme="1"/>
      <name val="Calibri"/>
      <family val="2"/>
      <scheme val="minor"/>
    </font>
    <font>
      <b/>
      <sz val="18"/>
      <color rgb="FF1F3864"/>
      <name val="Arial"/>
    </font>
    <font>
      <i/>
      <sz val="10"/>
      <color rgb="FF595959"/>
      <name val="Arial"/>
    </font>
    <font>
      <i/>
      <sz val="9"/>
      <color rgb="FF7F6000"/>
      <name val="Arial"/>
    </font>
    <font>
      <b/>
      <sz val="10"/>
      <color rgb="FF1F3864"/>
      <name val="Arial"/>
    </font>
    <font>
      <sz val="10"/>
      <color rgb="FF000000"/>
      <name val="Arial"/>
    </font>
    <font>
      <sz val="10"/>
      <color rgb="FF008000"/>
      <name val="Arial"/>
    </font>
    <font>
      <b/>
      <sz val="10"/>
      <color rgb="FF000000"/>
      <name val="Arial"/>
    </font>
    <font>
      <b/>
      <sz val="9"/>
      <color rgb="FF0000FF"/>
      <name val="Arial"/>
    </font>
    <font>
      <sz val="9"/>
      <color rgb="FF000000"/>
      <name val="Arial"/>
    </font>
    <font>
      <sz val="9"/>
      <color rgb="FF008000"/>
      <name val="Arial"/>
    </font>
    <font>
      <i/>
      <sz val="10"/>
      <color rgb="FF808080"/>
      <name val="Arial"/>
    </font>
    <font>
      <b/>
      <sz val="14"/>
      <color rgb="FF1F3864"/>
      <name val="Arial"/>
    </font>
    <font>
      <b/>
      <sz val="11"/>
      <color rgb="FFFFFFFF"/>
      <name val="Arial"/>
    </font>
    <font>
      <b/>
      <sz val="10"/>
      <color rgb="FF0000FF"/>
      <name val="Arial"/>
    </font>
    <font>
      <b/>
      <sz val="12"/>
      <color rgb="FF1F3864"/>
      <name val="Arial"/>
    </font>
    <font>
      <b/>
      <sz val="11"/>
      <color rgb="FF1F3864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FFC00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6" fillId="0" borderId="1" xfId="0" applyNumberFormat="1" applyFont="1" applyBorder="1" applyAlignment="1">
      <alignment horizontal="right"/>
    </xf>
    <xf numFmtId="0" fontId="0" fillId="0" borderId="1" xfId="0" applyBorder="1"/>
    <xf numFmtId="165" fontId="6" fillId="0" borderId="1" xfId="0" applyNumberFormat="1" applyFont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0" fontId="7" fillId="0" borderId="0" xfId="0" applyFont="1"/>
    <xf numFmtId="0" fontId="8" fillId="2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4" borderId="1" xfId="0" applyFont="1" applyFill="1" applyBorder="1" applyAlignment="1">
      <alignment horizontal="center" vertical="center" wrapText="1"/>
    </xf>
    <xf numFmtId="167" fontId="14" fillId="2" borderId="1" xfId="0" applyNumberFormat="1" applyFont="1" applyFill="1" applyBorder="1" applyAlignment="1">
      <alignment horizontal="center"/>
    </xf>
    <xf numFmtId="168" fontId="14" fillId="2" borderId="1" xfId="0" applyNumberFormat="1" applyFont="1" applyFill="1" applyBorder="1" applyAlignment="1">
      <alignment horizontal="center"/>
    </xf>
    <xf numFmtId="0" fontId="7" fillId="0" borderId="1" xfId="0" applyFont="1" applyBorder="1"/>
    <xf numFmtId="168" fontId="14" fillId="5" borderId="1" xfId="0" applyNumberFormat="1" applyFont="1" applyFill="1" applyBorder="1" applyAlignment="1">
      <alignment horizontal="center"/>
    </xf>
    <xf numFmtId="164" fontId="14" fillId="2" borderId="1" xfId="0" applyNumberFormat="1" applyFont="1" applyFill="1" applyBorder="1" applyAlignment="1">
      <alignment horizontal="center"/>
    </xf>
    <xf numFmtId="0" fontId="15" fillId="6" borderId="0" xfId="0" applyFont="1" applyFill="1"/>
    <xf numFmtId="0" fontId="0" fillId="6" borderId="0" xfId="0" applyFill="1"/>
    <xf numFmtId="1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right"/>
    </xf>
    <xf numFmtId="169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right"/>
    </xf>
    <xf numFmtId="0" fontId="15" fillId="7" borderId="0" xfId="0" applyFont="1" applyFill="1"/>
    <xf numFmtId="0" fontId="0" fillId="7" borderId="0" xfId="0" applyFill="1"/>
    <xf numFmtId="0" fontId="15" fillId="8" borderId="0" xfId="0" applyFont="1" applyFill="1"/>
    <xf numFmtId="0" fontId="0" fillId="8" borderId="0" xfId="0" applyFill="1"/>
    <xf numFmtId="169" fontId="6" fillId="0" borderId="1" xfId="0" applyNumberFormat="1" applyFont="1" applyBorder="1" applyAlignment="1">
      <alignment horizontal="right"/>
    </xf>
    <xf numFmtId="168" fontId="6" fillId="0" borderId="1" xfId="0" applyNumberFormat="1" applyFont="1" applyBorder="1" applyAlignment="1">
      <alignment horizontal="right"/>
    </xf>
    <xf numFmtId="169" fontId="5" fillId="0" borderId="1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166" fontId="7" fillId="0" borderId="1" xfId="0" applyNumberFormat="1" applyFont="1" applyBorder="1" applyAlignment="1">
      <alignment horizontal="right"/>
    </xf>
    <xf numFmtId="0" fontId="16" fillId="0" borderId="0" xfId="0" applyFont="1"/>
    <xf numFmtId="164" fontId="5" fillId="0" borderId="1" xfId="0" applyNumberFormat="1" applyFont="1" applyBorder="1" applyAlignment="1">
      <alignment horizontal="right"/>
    </xf>
    <xf numFmtId="167" fontId="5" fillId="0" borderId="1" xfId="0" applyNumberFormat="1" applyFont="1" applyBorder="1" applyAlignment="1">
      <alignment horizontal="right"/>
    </xf>
    <xf numFmtId="168" fontId="5" fillId="0" borderId="1" xfId="0" applyNumberFormat="1" applyFont="1" applyBorder="1" applyAlignment="1">
      <alignment horizontal="right"/>
    </xf>
    <xf numFmtId="0" fontId="4" fillId="0" borderId="1" xfId="0" applyFont="1" applyBorder="1"/>
    <xf numFmtId="167" fontId="6" fillId="0" borderId="1" xfId="0" applyNumberFormat="1" applyFont="1" applyBorder="1" applyAlignment="1">
      <alignment horizontal="right"/>
    </xf>
    <xf numFmtId="0" fontId="3" fillId="2" borderId="0" xfId="0" applyFont="1" applyFill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5"/>
  <sheetViews>
    <sheetView showGridLines="0" tabSelected="1" workbookViewId="0"/>
  </sheetViews>
  <sheetFormatPr defaultRowHeight="15" x14ac:dyDescent="0.25"/>
  <cols>
    <col min="1" max="1" width="2" customWidth="1"/>
    <col min="2" max="2" width="30" customWidth="1"/>
    <col min="3" max="6" width="16" customWidth="1"/>
    <col min="7" max="7" width="2" customWidth="1"/>
  </cols>
  <sheetData>
    <row r="2" spans="2:6" ht="23.25" x14ac:dyDescent="0.35">
      <c r="B2" s="1" t="s">
        <v>0</v>
      </c>
    </row>
    <row r="3" spans="2:6" x14ac:dyDescent="0.25">
      <c r="B3" s="2" t="s">
        <v>1</v>
      </c>
    </row>
    <row r="5" spans="2:6" ht="42" customHeight="1" x14ac:dyDescent="0.25">
      <c r="B5" s="47" t="s">
        <v>2</v>
      </c>
      <c r="C5" s="48"/>
      <c r="D5" s="48"/>
      <c r="E5" s="48"/>
      <c r="F5" s="48"/>
    </row>
    <row r="7" spans="2:6" x14ac:dyDescent="0.25">
      <c r="B7" s="4" t="s">
        <v>3</v>
      </c>
    </row>
    <row r="8" spans="2:6" x14ac:dyDescent="0.25">
      <c r="B8" s="5" t="s">
        <v>4</v>
      </c>
    </row>
    <row r="9" spans="2:6" x14ac:dyDescent="0.25">
      <c r="B9" s="5" t="s">
        <v>5</v>
      </c>
    </row>
    <row r="10" spans="2:6" x14ac:dyDescent="0.25">
      <c r="B10" s="5" t="s">
        <v>6</v>
      </c>
    </row>
    <row r="12" spans="2:6" x14ac:dyDescent="0.25">
      <c r="B12" s="6" t="s">
        <v>7</v>
      </c>
      <c r="C12" s="6" t="s">
        <v>8</v>
      </c>
      <c r="D12" s="6" t="s">
        <v>9</v>
      </c>
      <c r="E12" s="6" t="s">
        <v>10</v>
      </c>
    </row>
    <row r="13" spans="2:6" x14ac:dyDescent="0.25">
      <c r="B13" s="7" t="s">
        <v>11</v>
      </c>
      <c r="C13" s="8">
        <f>Hitos!C5</f>
        <v>1424.9363429742825</v>
      </c>
      <c r="D13" s="8">
        <f>Hitos!D5</f>
        <v>7076.1979172151277</v>
      </c>
      <c r="E13" s="8">
        <f>Hitos!E5</f>
        <v>29560.652122339347</v>
      </c>
    </row>
    <row r="14" spans="2:6" x14ac:dyDescent="0.25">
      <c r="B14" s="7" t="s">
        <v>12</v>
      </c>
      <c r="C14" s="8">
        <f>Hitos!C6</f>
        <v>6318.9014759118973</v>
      </c>
      <c r="D14" s="8">
        <f>Hitos!D6</f>
        <v>32205.69261918082</v>
      </c>
      <c r="E14" s="8">
        <f>Hitos!E6</f>
        <v>141072.23276770528</v>
      </c>
    </row>
    <row r="15" spans="2:6" x14ac:dyDescent="0.25">
      <c r="B15" s="7" t="s">
        <v>13</v>
      </c>
      <c r="C15" s="8">
        <f>Hitos!C7</f>
        <v>18039.405298067159</v>
      </c>
      <c r="D15" s="8">
        <f>Hitos!D7</f>
        <v>108742.86332643742</v>
      </c>
      <c r="E15" s="8">
        <f>Hitos!E7</f>
        <v>545243.74756784574</v>
      </c>
    </row>
    <row r="16" spans="2:6" x14ac:dyDescent="0.25">
      <c r="B16" s="7" t="s">
        <v>14</v>
      </c>
      <c r="C16" s="8">
        <f>Hitos!C8</f>
        <v>216472.86357680592</v>
      </c>
      <c r="D16" s="8">
        <f>Hitos!D8</f>
        <v>1304914.3599172491</v>
      </c>
      <c r="E16" s="8">
        <f>Hitos!E8</f>
        <v>6542924.9708141489</v>
      </c>
    </row>
    <row r="17" spans="2:5" x14ac:dyDescent="0.25">
      <c r="B17" s="7" t="s">
        <v>15</v>
      </c>
      <c r="C17" s="9"/>
      <c r="D17" s="10">
        <f>'Unit Economics'!C10</f>
        <v>350</v>
      </c>
      <c r="E17" s="9"/>
    </row>
    <row r="18" spans="2:5" x14ac:dyDescent="0.25">
      <c r="B18" s="7" t="s">
        <v>16</v>
      </c>
      <c r="C18" s="9"/>
      <c r="D18" s="11">
        <f>'Unit Economics'!C11</f>
        <v>906.4375</v>
      </c>
      <c r="E18" s="9"/>
    </row>
    <row r="20" spans="2:5" x14ac:dyDescent="0.25">
      <c r="B20" s="12" t="s">
        <v>17</v>
      </c>
    </row>
    <row r="21" spans="2:5" x14ac:dyDescent="0.25">
      <c r="B21" s="13" t="s">
        <v>18</v>
      </c>
    </row>
    <row r="22" spans="2:5" x14ac:dyDescent="0.25">
      <c r="B22" s="14" t="s">
        <v>19</v>
      </c>
    </row>
    <row r="23" spans="2:5" x14ac:dyDescent="0.25">
      <c r="B23" s="15" t="s">
        <v>20</v>
      </c>
    </row>
    <row r="25" spans="2:5" x14ac:dyDescent="0.25">
      <c r="B25" s="16" t="s">
        <v>21</v>
      </c>
    </row>
  </sheetData>
  <mergeCells count="1"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7"/>
  <sheetViews>
    <sheetView showGridLines="0" workbookViewId="0"/>
  </sheetViews>
  <sheetFormatPr defaultRowHeight="15" x14ac:dyDescent="0.25"/>
  <cols>
    <col min="1" max="1" width="2" customWidth="1"/>
    <col min="2" max="2" width="34" customWidth="1"/>
    <col min="3" max="5" width="16" customWidth="1"/>
    <col min="6" max="6" width="3" customWidth="1"/>
    <col min="7" max="7" width="40" customWidth="1"/>
  </cols>
  <sheetData>
    <row r="2" spans="2:7" ht="18" x14ac:dyDescent="0.25">
      <c r="B2" s="17" t="s">
        <v>22</v>
      </c>
    </row>
    <row r="3" spans="2:7" ht="44.1" customHeight="1" x14ac:dyDescent="0.25">
      <c r="B3" s="47" t="s">
        <v>23</v>
      </c>
      <c r="C3" s="48"/>
      <c r="D3" s="48"/>
      <c r="E3" s="48"/>
    </row>
    <row r="5" spans="2:7" x14ac:dyDescent="0.25">
      <c r="B5" s="18" t="s">
        <v>24</v>
      </c>
      <c r="C5" s="18" t="s">
        <v>8</v>
      </c>
      <c r="D5" s="18" t="s">
        <v>9</v>
      </c>
      <c r="E5" s="18" t="s">
        <v>10</v>
      </c>
    </row>
    <row r="6" spans="2:7" ht="24" x14ac:dyDescent="0.25">
      <c r="B6" s="7" t="s">
        <v>25</v>
      </c>
      <c r="C6" s="19">
        <v>33</v>
      </c>
      <c r="D6" s="19">
        <v>47</v>
      </c>
      <c r="E6" s="19">
        <v>87</v>
      </c>
      <c r="G6" s="3" t="s">
        <v>26</v>
      </c>
    </row>
    <row r="7" spans="2:7" ht="24" x14ac:dyDescent="0.25">
      <c r="B7" s="7" t="s">
        <v>27</v>
      </c>
      <c r="C7" s="20">
        <v>0.08</v>
      </c>
      <c r="D7" s="20">
        <v>0.1</v>
      </c>
      <c r="E7" s="20">
        <v>0.115</v>
      </c>
      <c r="G7" s="3" t="s">
        <v>28</v>
      </c>
    </row>
    <row r="8" spans="2:7" x14ac:dyDescent="0.25">
      <c r="B8" s="7" t="s">
        <v>29</v>
      </c>
      <c r="C8" s="20">
        <v>0.06</v>
      </c>
      <c r="D8" s="20">
        <v>0.12</v>
      </c>
      <c r="E8" s="20">
        <v>0.2</v>
      </c>
      <c r="G8" s="3" t="s">
        <v>30</v>
      </c>
    </row>
    <row r="9" spans="2:7" x14ac:dyDescent="0.25">
      <c r="B9" s="21" t="s">
        <v>31</v>
      </c>
      <c r="C9" s="22">
        <v>0.08</v>
      </c>
      <c r="D9" s="22">
        <v>0.05</v>
      </c>
      <c r="E9" s="22">
        <v>3.5000000000000003E-2</v>
      </c>
      <c r="G9" s="3" t="s">
        <v>32</v>
      </c>
    </row>
    <row r="10" spans="2:7" x14ac:dyDescent="0.25">
      <c r="B10" s="7" t="s">
        <v>33</v>
      </c>
      <c r="C10" s="23">
        <v>25</v>
      </c>
      <c r="D10" s="23">
        <v>20</v>
      </c>
      <c r="E10" s="23">
        <v>15</v>
      </c>
      <c r="G10" s="3" t="s">
        <v>34</v>
      </c>
    </row>
    <row r="11" spans="2:7" x14ac:dyDescent="0.25">
      <c r="B11" s="7" t="s">
        <v>35</v>
      </c>
      <c r="C11" s="23">
        <v>350</v>
      </c>
      <c r="D11" s="23">
        <v>250</v>
      </c>
      <c r="E11" s="23">
        <v>180</v>
      </c>
      <c r="G11" s="3" t="s">
        <v>36</v>
      </c>
    </row>
    <row r="12" spans="2:7" x14ac:dyDescent="0.25">
      <c r="B12" s="7" t="s">
        <v>37</v>
      </c>
      <c r="C12" s="23">
        <v>99</v>
      </c>
      <c r="D12" s="23">
        <v>99</v>
      </c>
      <c r="E12" s="23">
        <v>99</v>
      </c>
      <c r="G12" s="3" t="s">
        <v>38</v>
      </c>
    </row>
    <row r="13" spans="2:7" x14ac:dyDescent="0.25">
      <c r="B13" s="7" t="s">
        <v>39</v>
      </c>
      <c r="C13" s="20">
        <v>0.1</v>
      </c>
      <c r="D13" s="20">
        <v>0.2</v>
      </c>
      <c r="E13" s="20">
        <v>0.3</v>
      </c>
      <c r="G13" s="3" t="s">
        <v>40</v>
      </c>
    </row>
    <row r="14" spans="2:7" x14ac:dyDescent="0.25">
      <c r="B14" s="7" t="s">
        <v>41</v>
      </c>
      <c r="C14" s="19">
        <v>200</v>
      </c>
      <c r="D14" s="19">
        <v>200</v>
      </c>
      <c r="E14" s="19">
        <v>200</v>
      </c>
      <c r="G14" s="3" t="s">
        <v>42</v>
      </c>
    </row>
    <row r="15" spans="2:7" x14ac:dyDescent="0.25">
      <c r="B15" s="7" t="s">
        <v>43</v>
      </c>
      <c r="C15" s="20">
        <v>0.15</v>
      </c>
      <c r="D15" s="20">
        <v>0.15</v>
      </c>
      <c r="E15" s="20">
        <v>0.15</v>
      </c>
      <c r="G15" s="3" t="s">
        <v>44</v>
      </c>
    </row>
    <row r="17" spans="2:5" ht="27.95" customHeight="1" x14ac:dyDescent="0.25">
      <c r="B17" s="47" t="s">
        <v>45</v>
      </c>
      <c r="C17" s="48"/>
      <c r="D17" s="48"/>
      <c r="E17" s="48"/>
    </row>
  </sheetData>
  <mergeCells count="2">
    <mergeCell ref="B17:E17"/>
    <mergeCell ref="B3:E3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9"/>
  <sheetViews>
    <sheetView showGridLines="0" workbookViewId="0"/>
  </sheetViews>
  <sheetFormatPr defaultRowHeight="15" x14ac:dyDescent="0.25"/>
  <cols>
    <col min="1" max="1" width="6" customWidth="1"/>
    <col min="2" max="10" width="15" customWidth="1"/>
  </cols>
  <sheetData>
    <row r="1" spans="1:10" ht="18" x14ac:dyDescent="0.25">
      <c r="A1" s="17" t="s">
        <v>46</v>
      </c>
    </row>
    <row r="2" spans="1:10" ht="26.1" customHeight="1" x14ac:dyDescent="0.25">
      <c r="A2" s="47" t="s">
        <v>47</v>
      </c>
      <c r="B2" s="48"/>
      <c r="C2" s="48"/>
      <c r="D2" s="48"/>
      <c r="E2" s="48"/>
      <c r="F2" s="48"/>
      <c r="G2" s="48"/>
      <c r="H2" s="48"/>
      <c r="I2" s="48"/>
      <c r="J2" s="48"/>
    </row>
    <row r="4" spans="1:10" ht="15.75" x14ac:dyDescent="0.25">
      <c r="A4" s="24" t="s">
        <v>48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30" x14ac:dyDescent="0.25">
      <c r="A5" s="18" t="s">
        <v>49</v>
      </c>
      <c r="B5" s="18" t="s">
        <v>50</v>
      </c>
      <c r="C5" s="18" t="s">
        <v>51</v>
      </c>
      <c r="D5" s="18" t="s">
        <v>52</v>
      </c>
      <c r="E5" s="18" t="s">
        <v>53</v>
      </c>
      <c r="F5" s="18" t="s">
        <v>54</v>
      </c>
      <c r="G5" s="18" t="s">
        <v>55</v>
      </c>
      <c r="H5" s="18" t="s">
        <v>56</v>
      </c>
      <c r="I5" s="18" t="s">
        <v>57</v>
      </c>
      <c r="J5" s="18" t="s">
        <v>58</v>
      </c>
    </row>
    <row r="6" spans="1:10" x14ac:dyDescent="0.25">
      <c r="A6" s="26">
        <v>1</v>
      </c>
      <c r="B6" s="27">
        <f>Supuestos!C6</f>
        <v>33</v>
      </c>
      <c r="C6" s="27">
        <f>B6</f>
        <v>33</v>
      </c>
      <c r="D6" s="27">
        <f>MAX(0,C6-Supuestos!C14)*Supuestos!C8</f>
        <v>0</v>
      </c>
      <c r="E6" s="28">
        <f>Supuestos!C12*(1-Supuestos!C13*Supuestos!C15)</f>
        <v>97.515000000000001</v>
      </c>
      <c r="F6" s="29">
        <f t="shared" ref="F6:F41" si="0">D6*E6</f>
        <v>0</v>
      </c>
      <c r="G6" s="29">
        <f t="shared" ref="G6:G41" si="1">F6*12</f>
        <v>0</v>
      </c>
      <c r="H6" s="29">
        <f>D6*Supuestos!C10</f>
        <v>0</v>
      </c>
      <c r="I6" s="29">
        <f t="shared" ref="I6:I41" si="2">F6-H6</f>
        <v>0</v>
      </c>
      <c r="J6" s="30">
        <f t="shared" ref="J6:J41" si="3">IF(F6=0,0,I6/F6)</f>
        <v>0</v>
      </c>
    </row>
    <row r="7" spans="1:10" x14ac:dyDescent="0.25">
      <c r="A7" s="26">
        <v>2</v>
      </c>
      <c r="B7" s="27">
        <f>B6*(1+Supuestos!C7)</f>
        <v>35.64</v>
      </c>
      <c r="C7" s="27">
        <f>C6*(1-Supuestos!C9)+B7</f>
        <v>66</v>
      </c>
      <c r="D7" s="27">
        <f>MAX(0,C7-Supuestos!C14)*Supuestos!C8</f>
        <v>0</v>
      </c>
      <c r="E7" s="28">
        <f>Supuestos!C12*(1-Supuestos!C13*Supuestos!C15)</f>
        <v>97.515000000000001</v>
      </c>
      <c r="F7" s="29">
        <f t="shared" si="0"/>
        <v>0</v>
      </c>
      <c r="G7" s="29">
        <f t="shared" si="1"/>
        <v>0</v>
      </c>
      <c r="H7" s="29">
        <f>D7*Supuestos!C10</f>
        <v>0</v>
      </c>
      <c r="I7" s="29">
        <f t="shared" si="2"/>
        <v>0</v>
      </c>
      <c r="J7" s="30">
        <f t="shared" si="3"/>
        <v>0</v>
      </c>
    </row>
    <row r="8" spans="1:10" x14ac:dyDescent="0.25">
      <c r="A8" s="26">
        <v>3</v>
      </c>
      <c r="B8" s="27">
        <f>B7*(1+Supuestos!C7)</f>
        <v>38.491200000000006</v>
      </c>
      <c r="C8" s="27">
        <f>C7*(1-Supuestos!C9)+B8</f>
        <v>99.211200000000019</v>
      </c>
      <c r="D8" s="27">
        <f>MAX(0,C8-Supuestos!C14)*Supuestos!C8</f>
        <v>0</v>
      </c>
      <c r="E8" s="28">
        <f>Supuestos!C12*(1-Supuestos!C13*Supuestos!C15)</f>
        <v>97.515000000000001</v>
      </c>
      <c r="F8" s="29">
        <f t="shared" si="0"/>
        <v>0</v>
      </c>
      <c r="G8" s="29">
        <f t="shared" si="1"/>
        <v>0</v>
      </c>
      <c r="H8" s="29">
        <f>D8*Supuestos!C10</f>
        <v>0</v>
      </c>
      <c r="I8" s="29">
        <f t="shared" si="2"/>
        <v>0</v>
      </c>
      <c r="J8" s="30">
        <f t="shared" si="3"/>
        <v>0</v>
      </c>
    </row>
    <row r="9" spans="1:10" x14ac:dyDescent="0.25">
      <c r="A9" s="26">
        <v>4</v>
      </c>
      <c r="B9" s="27">
        <f>B8*(1+Supuestos!C7)</f>
        <v>41.570496000000013</v>
      </c>
      <c r="C9" s="27">
        <f>C8*(1-Supuestos!C9)+B9</f>
        <v>132.84480000000002</v>
      </c>
      <c r="D9" s="27">
        <f>MAX(0,C9-Supuestos!C14)*Supuestos!C8</f>
        <v>0</v>
      </c>
      <c r="E9" s="28">
        <f>Supuestos!C12*(1-Supuestos!C13*Supuestos!C15)</f>
        <v>97.515000000000001</v>
      </c>
      <c r="F9" s="29">
        <f t="shared" si="0"/>
        <v>0</v>
      </c>
      <c r="G9" s="29">
        <f t="shared" si="1"/>
        <v>0</v>
      </c>
      <c r="H9" s="29">
        <f>D9*Supuestos!C10</f>
        <v>0</v>
      </c>
      <c r="I9" s="29">
        <f t="shared" si="2"/>
        <v>0</v>
      </c>
      <c r="J9" s="30">
        <f t="shared" si="3"/>
        <v>0</v>
      </c>
    </row>
    <row r="10" spans="1:10" x14ac:dyDescent="0.25">
      <c r="A10" s="26">
        <v>5</v>
      </c>
      <c r="B10" s="27">
        <f>B9*(1+Supuestos!C7)</f>
        <v>44.896135680000015</v>
      </c>
      <c r="C10" s="27">
        <f>C9*(1-Supuestos!C9)+B10</f>
        <v>167.11335168000005</v>
      </c>
      <c r="D10" s="27">
        <f>MAX(0,C10-Supuestos!C14)*Supuestos!C8</f>
        <v>0</v>
      </c>
      <c r="E10" s="28">
        <f>Supuestos!C12*(1-Supuestos!C13*Supuestos!C15)</f>
        <v>97.515000000000001</v>
      </c>
      <c r="F10" s="29">
        <f t="shared" si="0"/>
        <v>0</v>
      </c>
      <c r="G10" s="29">
        <f t="shared" si="1"/>
        <v>0</v>
      </c>
      <c r="H10" s="29">
        <f>D10*Supuestos!C10</f>
        <v>0</v>
      </c>
      <c r="I10" s="29">
        <f t="shared" si="2"/>
        <v>0</v>
      </c>
      <c r="J10" s="30">
        <f t="shared" si="3"/>
        <v>0</v>
      </c>
    </row>
    <row r="11" spans="1:10" x14ac:dyDescent="0.25">
      <c r="A11" s="26">
        <v>6</v>
      </c>
      <c r="B11" s="27">
        <f>B10*(1+Supuestos!C7)</f>
        <v>48.487826534400021</v>
      </c>
      <c r="C11" s="27">
        <f>C10*(1-Supuestos!C9)+B11</f>
        <v>202.23211008000007</v>
      </c>
      <c r="D11" s="27">
        <f>MAX(0,C11-Supuestos!C14)*Supuestos!C8</f>
        <v>0.13392660480000415</v>
      </c>
      <c r="E11" s="28">
        <f>Supuestos!C12*(1-Supuestos!C13*Supuestos!C15)</f>
        <v>97.515000000000001</v>
      </c>
      <c r="F11" s="29">
        <f t="shared" si="0"/>
        <v>13.059852867072404</v>
      </c>
      <c r="G11" s="29">
        <f t="shared" si="1"/>
        <v>156.71823440486884</v>
      </c>
      <c r="H11" s="29">
        <f>D11*Supuestos!C10</f>
        <v>3.3481651200001039</v>
      </c>
      <c r="I11" s="29">
        <f t="shared" si="2"/>
        <v>9.7116877470723004</v>
      </c>
      <c r="J11" s="30">
        <f t="shared" si="3"/>
        <v>0.74362918525355071</v>
      </c>
    </row>
    <row r="12" spans="1:10" x14ac:dyDescent="0.25">
      <c r="A12" s="26">
        <v>7</v>
      </c>
      <c r="B12" s="27">
        <f>B11*(1+Supuestos!C7)</f>
        <v>52.366852657152023</v>
      </c>
      <c r="C12" s="27">
        <f>C11*(1-Supuestos!C9)+B12</f>
        <v>238.42039393075208</v>
      </c>
      <c r="D12" s="27">
        <f>MAX(0,C12-Supuestos!C14)*Supuestos!C8</f>
        <v>2.3052236358451248</v>
      </c>
      <c r="E12" s="28">
        <f>Supuestos!C12*(1-Supuestos!C13*Supuestos!C15)</f>
        <v>97.515000000000001</v>
      </c>
      <c r="F12" s="29">
        <f t="shared" si="0"/>
        <v>224.79388284943735</v>
      </c>
      <c r="G12" s="29">
        <f t="shared" si="1"/>
        <v>2697.5265941932485</v>
      </c>
      <c r="H12" s="29">
        <f>D12*Supuestos!C10</f>
        <v>57.630590896128119</v>
      </c>
      <c r="I12" s="29">
        <f t="shared" si="2"/>
        <v>167.16329195330923</v>
      </c>
      <c r="J12" s="30">
        <f t="shared" si="3"/>
        <v>0.74362918525355071</v>
      </c>
    </row>
    <row r="13" spans="1:10" x14ac:dyDescent="0.25">
      <c r="A13" s="26">
        <v>8</v>
      </c>
      <c r="B13" s="27">
        <f>B12*(1+Supuestos!C7)</f>
        <v>56.556200869724186</v>
      </c>
      <c r="C13" s="27">
        <f>C12*(1-Supuestos!C9)+B13</f>
        <v>275.90296328601613</v>
      </c>
      <c r="D13" s="27">
        <f>MAX(0,C13-Supuestos!C14)*Supuestos!C8</f>
        <v>4.5541777971609676</v>
      </c>
      <c r="E13" s="28">
        <f>Supuestos!C12*(1-Supuestos!C13*Supuestos!C15)</f>
        <v>97.515000000000001</v>
      </c>
      <c r="F13" s="29">
        <f t="shared" si="0"/>
        <v>444.10064789015178</v>
      </c>
      <c r="G13" s="29">
        <f t="shared" si="1"/>
        <v>5329.2077746818213</v>
      </c>
      <c r="H13" s="29">
        <f>D13*Supuestos!C10</f>
        <v>113.8544449290242</v>
      </c>
      <c r="I13" s="29">
        <f t="shared" si="2"/>
        <v>330.24620296112755</v>
      </c>
      <c r="J13" s="30">
        <f t="shared" si="3"/>
        <v>0.74362918525355071</v>
      </c>
    </row>
    <row r="14" spans="1:10" x14ac:dyDescent="0.25">
      <c r="A14" s="26">
        <v>9</v>
      </c>
      <c r="B14" s="27">
        <f>B13*(1+Supuestos!C7)</f>
        <v>61.080696939302122</v>
      </c>
      <c r="C14" s="27">
        <f>C13*(1-Supuestos!C9)+B14</f>
        <v>314.91142316243696</v>
      </c>
      <c r="D14" s="27">
        <f>MAX(0,C14-Supuestos!C14)*Supuestos!C8</f>
        <v>6.8946853897462175</v>
      </c>
      <c r="E14" s="28">
        <f>Supuestos!C12*(1-Supuestos!C13*Supuestos!C15)</f>
        <v>97.515000000000001</v>
      </c>
      <c r="F14" s="29">
        <f t="shared" si="0"/>
        <v>672.33524578110234</v>
      </c>
      <c r="G14" s="29">
        <f t="shared" si="1"/>
        <v>8068.0229493732277</v>
      </c>
      <c r="H14" s="29">
        <f>D14*Supuestos!C10</f>
        <v>172.36713474365544</v>
      </c>
      <c r="I14" s="29">
        <f t="shared" si="2"/>
        <v>499.96811103744687</v>
      </c>
      <c r="J14" s="30">
        <f t="shared" si="3"/>
        <v>0.74362918525355071</v>
      </c>
    </row>
    <row r="15" spans="1:10" x14ac:dyDescent="0.25">
      <c r="A15" s="26">
        <v>10</v>
      </c>
      <c r="B15" s="27">
        <f>B14*(1+Supuestos!C7)</f>
        <v>65.967152694446298</v>
      </c>
      <c r="C15" s="27">
        <f>C14*(1-Supuestos!C9)+B15</f>
        <v>355.6856620038883</v>
      </c>
      <c r="D15" s="27">
        <f>MAX(0,C15-Supuestos!C14)*Supuestos!C8</f>
        <v>9.3411397202332971</v>
      </c>
      <c r="E15" s="28">
        <f>Supuestos!C12*(1-Supuestos!C13*Supuestos!C15)</f>
        <v>97.515000000000001</v>
      </c>
      <c r="F15" s="29">
        <f t="shared" si="0"/>
        <v>910.90123981854993</v>
      </c>
      <c r="G15" s="29">
        <f t="shared" si="1"/>
        <v>10930.814877822599</v>
      </c>
      <c r="H15" s="29">
        <f>D15*Supuestos!C10</f>
        <v>233.52849300583242</v>
      </c>
      <c r="I15" s="29">
        <f t="shared" si="2"/>
        <v>677.37274681271754</v>
      </c>
      <c r="J15" s="30">
        <f t="shared" si="3"/>
        <v>0.74362918525355082</v>
      </c>
    </row>
    <row r="16" spans="1:10" x14ac:dyDescent="0.25">
      <c r="A16" s="26">
        <v>11</v>
      </c>
      <c r="B16" s="27">
        <f>B15*(1+Supuestos!C7)</f>
        <v>71.244524910002013</v>
      </c>
      <c r="C16" s="27">
        <f>C15*(1-Supuestos!C9)+B16</f>
        <v>398.47533395357925</v>
      </c>
      <c r="D16" s="27">
        <f>MAX(0,C16-Supuestos!C14)*Supuestos!C8</f>
        <v>11.908520037214755</v>
      </c>
      <c r="E16" s="28">
        <f>Supuestos!C12*(1-Supuestos!C13*Supuestos!C15)</f>
        <v>97.515000000000001</v>
      </c>
      <c r="F16" s="29">
        <f t="shared" si="0"/>
        <v>1161.2593314289968</v>
      </c>
      <c r="G16" s="29">
        <f t="shared" si="1"/>
        <v>13935.111977147961</v>
      </c>
      <c r="H16" s="29">
        <f>D16*Supuestos!C10</f>
        <v>297.71300093036888</v>
      </c>
      <c r="I16" s="29">
        <f t="shared" si="2"/>
        <v>863.54633049862787</v>
      </c>
      <c r="J16" s="30">
        <f t="shared" si="3"/>
        <v>0.74362918525355071</v>
      </c>
    </row>
    <row r="17" spans="1:10" x14ac:dyDescent="0.25">
      <c r="A17" s="26">
        <v>12</v>
      </c>
      <c r="B17" s="27">
        <f>B16*(1+Supuestos!C7)</f>
        <v>76.944086902802184</v>
      </c>
      <c r="C17" s="27">
        <f>C16*(1-Supuestos!C9)+B17</f>
        <v>443.54139414009512</v>
      </c>
      <c r="D17" s="27">
        <f>MAX(0,C17-Supuestos!C14)*Supuestos!C8</f>
        <v>14.612483648405707</v>
      </c>
      <c r="E17" s="28">
        <f>Supuestos!C12*(1-Supuestos!C13*Supuestos!C15)</f>
        <v>97.515000000000001</v>
      </c>
      <c r="F17" s="29">
        <f t="shared" si="0"/>
        <v>1424.9363429742825</v>
      </c>
      <c r="G17" s="29">
        <f t="shared" si="1"/>
        <v>17099.23611569139</v>
      </c>
      <c r="H17" s="29">
        <f>D17*Supuestos!C10</f>
        <v>365.31209121014268</v>
      </c>
      <c r="I17" s="29">
        <f t="shared" si="2"/>
        <v>1059.6242517641399</v>
      </c>
      <c r="J17" s="30">
        <f t="shared" si="3"/>
        <v>0.74362918525355082</v>
      </c>
    </row>
    <row r="18" spans="1:10" x14ac:dyDescent="0.25">
      <c r="A18" s="26">
        <v>13</v>
      </c>
      <c r="B18" s="27">
        <f>B17*(1+Supuestos!C7)</f>
        <v>83.099613855026362</v>
      </c>
      <c r="C18" s="27">
        <f>C17*(1-Supuestos!C9)+B18</f>
        <v>491.15769646391385</v>
      </c>
      <c r="D18" s="27">
        <f>MAX(0,C18-Supuestos!C14)*Supuestos!C8</f>
        <v>17.469461787834831</v>
      </c>
      <c r="E18" s="28">
        <f>Supuestos!C12*(1-Supuestos!C13*Supuestos!C15)</f>
        <v>97.515000000000001</v>
      </c>
      <c r="F18" s="29">
        <f t="shared" si="0"/>
        <v>1703.5345662407135</v>
      </c>
      <c r="G18" s="29">
        <f t="shared" si="1"/>
        <v>20442.414794888562</v>
      </c>
      <c r="H18" s="29">
        <f>D18*Supuestos!C10</f>
        <v>436.73654469587075</v>
      </c>
      <c r="I18" s="29">
        <f t="shared" si="2"/>
        <v>1266.7980215448429</v>
      </c>
      <c r="J18" s="30">
        <f t="shared" si="3"/>
        <v>0.74362918525355082</v>
      </c>
    </row>
    <row r="19" spans="1:10" x14ac:dyDescent="0.25">
      <c r="A19" s="26">
        <v>14</v>
      </c>
      <c r="B19" s="27">
        <f>B18*(1+Supuestos!C7)</f>
        <v>89.747582963428471</v>
      </c>
      <c r="C19" s="27">
        <f>C18*(1-Supuestos!C9)+B19</f>
        <v>541.61266371022919</v>
      </c>
      <c r="D19" s="27">
        <f>MAX(0,C19-Supuestos!C14)*Supuestos!C8</f>
        <v>20.49675982261375</v>
      </c>
      <c r="E19" s="28">
        <f>Supuestos!C12*(1-Supuestos!C13*Supuestos!C15)</f>
        <v>97.515000000000001</v>
      </c>
      <c r="F19" s="29">
        <f t="shared" si="0"/>
        <v>1998.7415341021799</v>
      </c>
      <c r="G19" s="29">
        <f t="shared" si="1"/>
        <v>23984.89840922616</v>
      </c>
      <c r="H19" s="29">
        <f>D19*Supuestos!C10</f>
        <v>512.41899556534372</v>
      </c>
      <c r="I19" s="29">
        <f t="shared" si="2"/>
        <v>1486.3225385368362</v>
      </c>
      <c r="J19" s="30">
        <f t="shared" si="3"/>
        <v>0.74362918525355071</v>
      </c>
    </row>
    <row r="20" spans="1:10" x14ac:dyDescent="0.25">
      <c r="A20" s="26">
        <v>15</v>
      </c>
      <c r="B20" s="27">
        <f>B19*(1+Supuestos!C7)</f>
        <v>96.92738960050275</v>
      </c>
      <c r="C20" s="27">
        <f>C19*(1-Supuestos!C9)+B20</f>
        <v>595.21104021391363</v>
      </c>
      <c r="D20" s="27">
        <f>MAX(0,C20-Supuestos!C14)*Supuestos!C8</f>
        <v>23.712662412834817</v>
      </c>
      <c r="E20" s="28">
        <f>Supuestos!C12*(1-Supuestos!C13*Supuestos!C15)</f>
        <v>97.515000000000001</v>
      </c>
      <c r="F20" s="29">
        <f t="shared" si="0"/>
        <v>2312.3402751875874</v>
      </c>
      <c r="G20" s="29">
        <f t="shared" si="1"/>
        <v>27748.083302251049</v>
      </c>
      <c r="H20" s="29">
        <f>D20*Supuestos!C10</f>
        <v>592.81656032087039</v>
      </c>
      <c r="I20" s="29">
        <f t="shared" si="2"/>
        <v>1719.523714866717</v>
      </c>
      <c r="J20" s="30">
        <f t="shared" si="3"/>
        <v>0.74362918525355082</v>
      </c>
    </row>
    <row r="21" spans="1:10" x14ac:dyDescent="0.25">
      <c r="A21" s="26">
        <v>16</v>
      </c>
      <c r="B21" s="27">
        <f>B20*(1+Supuestos!C7)</f>
        <v>104.68158076854297</v>
      </c>
      <c r="C21" s="27">
        <f>C20*(1-Supuestos!C9)+B21</f>
        <v>652.27573776534359</v>
      </c>
      <c r="D21" s="27">
        <f>MAX(0,C21-Supuestos!C14)*Supuestos!C8</f>
        <v>27.136544265920616</v>
      </c>
      <c r="E21" s="28">
        <f>Supuestos!C12*(1-Supuestos!C13*Supuestos!C15)</f>
        <v>97.515000000000001</v>
      </c>
      <c r="F21" s="29">
        <f t="shared" si="0"/>
        <v>2646.2201140912489</v>
      </c>
      <c r="G21" s="29">
        <f t="shared" si="1"/>
        <v>31754.641369094985</v>
      </c>
      <c r="H21" s="29">
        <f>D21*Supuestos!C10</f>
        <v>678.41360664801539</v>
      </c>
      <c r="I21" s="29">
        <f t="shared" si="2"/>
        <v>1967.8065074432334</v>
      </c>
      <c r="J21" s="30">
        <f t="shared" si="3"/>
        <v>0.74362918525355071</v>
      </c>
    </row>
    <row r="22" spans="1:10" x14ac:dyDescent="0.25">
      <c r="A22" s="26">
        <v>17</v>
      </c>
      <c r="B22" s="27">
        <f>B21*(1+Supuestos!C7)</f>
        <v>113.05610723002641</v>
      </c>
      <c r="C22" s="27">
        <f>C21*(1-Supuestos!C9)+B22</f>
        <v>713.14978597414256</v>
      </c>
      <c r="D22" s="27">
        <f>MAX(0,C22-Supuestos!C14)*Supuestos!C8</f>
        <v>30.788987158448553</v>
      </c>
      <c r="E22" s="28">
        <f>Supuestos!C12*(1-Supuestos!C13*Supuestos!C15)</f>
        <v>97.515000000000001</v>
      </c>
      <c r="F22" s="29">
        <f t="shared" si="0"/>
        <v>3002.3880827561106</v>
      </c>
      <c r="G22" s="29">
        <f t="shared" si="1"/>
        <v>36028.656993073324</v>
      </c>
      <c r="H22" s="29">
        <f>D22*Supuestos!C10</f>
        <v>769.72467896121384</v>
      </c>
      <c r="I22" s="29">
        <f t="shared" si="2"/>
        <v>2232.663403794897</v>
      </c>
      <c r="J22" s="30">
        <f t="shared" si="3"/>
        <v>0.74362918525355082</v>
      </c>
    </row>
    <row r="23" spans="1:10" x14ac:dyDescent="0.25">
      <c r="A23" s="26">
        <v>18</v>
      </c>
      <c r="B23" s="27">
        <f>B22*(1+Supuestos!C7)</f>
        <v>122.10059580842854</v>
      </c>
      <c r="C23" s="27">
        <f>C22*(1-Supuestos!C9)+B23</f>
        <v>778.19839890463982</v>
      </c>
      <c r="D23" s="27">
        <f>MAX(0,C23-Supuestos!C14)*Supuestos!C8</f>
        <v>34.691903934278386</v>
      </c>
      <c r="E23" s="28">
        <f>Supuestos!C12*(1-Supuestos!C13*Supuestos!C15)</f>
        <v>97.515000000000001</v>
      </c>
      <c r="F23" s="29">
        <f t="shared" si="0"/>
        <v>3382.9810121511568</v>
      </c>
      <c r="G23" s="29">
        <f t="shared" si="1"/>
        <v>40595.772145813884</v>
      </c>
      <c r="H23" s="29">
        <f>D23*Supuestos!C10</f>
        <v>867.29759835695961</v>
      </c>
      <c r="I23" s="29">
        <f t="shared" si="2"/>
        <v>2515.6834137941973</v>
      </c>
      <c r="J23" s="30">
        <f t="shared" si="3"/>
        <v>0.74362918525355082</v>
      </c>
    </row>
    <row r="24" spans="1:10" x14ac:dyDescent="0.25">
      <c r="A24" s="26">
        <v>19</v>
      </c>
      <c r="B24" s="27">
        <f>B23*(1+Supuestos!C7)</f>
        <v>131.86864347310282</v>
      </c>
      <c r="C24" s="27">
        <f>C23*(1-Supuestos!C9)+B24</f>
        <v>847.81117046537145</v>
      </c>
      <c r="D24" s="27">
        <f>MAX(0,C24-Supuestos!C14)*Supuestos!C8</f>
        <v>38.868670227922287</v>
      </c>
      <c r="E24" s="28">
        <f>Supuestos!C12*(1-Supuestos!C13*Supuestos!C15)</f>
        <v>97.515000000000001</v>
      </c>
      <c r="F24" s="29">
        <f t="shared" si="0"/>
        <v>3790.2783772758416</v>
      </c>
      <c r="G24" s="29">
        <f t="shared" si="1"/>
        <v>45483.340527310102</v>
      </c>
      <c r="H24" s="29">
        <f>D24*Supuestos!C10</f>
        <v>971.71675569805723</v>
      </c>
      <c r="I24" s="29">
        <f t="shared" si="2"/>
        <v>2818.5616215777845</v>
      </c>
      <c r="J24" s="30">
        <f t="shared" si="3"/>
        <v>0.74362918525355071</v>
      </c>
    </row>
    <row r="25" spans="1:10" x14ac:dyDescent="0.25">
      <c r="A25" s="26">
        <v>20</v>
      </c>
      <c r="B25" s="27">
        <f>B24*(1+Supuestos!C7)</f>
        <v>142.41813495095104</v>
      </c>
      <c r="C25" s="27">
        <f>C24*(1-Supuestos!C9)+B25</f>
        <v>922.40441177909281</v>
      </c>
      <c r="D25" s="27">
        <f>MAX(0,C25-Supuestos!C14)*Supuestos!C8</f>
        <v>43.34426470674557</v>
      </c>
      <c r="E25" s="28">
        <f>Supuestos!C12*(1-Supuestos!C13*Supuestos!C15)</f>
        <v>97.515000000000001</v>
      </c>
      <c r="F25" s="29">
        <f t="shared" si="0"/>
        <v>4226.7159728782945</v>
      </c>
      <c r="G25" s="29">
        <f t="shared" si="1"/>
        <v>50720.591674539537</v>
      </c>
      <c r="H25" s="29">
        <f>D25*Supuestos!C10</f>
        <v>1083.6066176686393</v>
      </c>
      <c r="I25" s="29">
        <f t="shared" si="2"/>
        <v>3143.1093552096554</v>
      </c>
      <c r="J25" s="30">
        <f t="shared" si="3"/>
        <v>0.74362918525355082</v>
      </c>
    </row>
    <row r="26" spans="1:10" x14ac:dyDescent="0.25">
      <c r="A26" s="26">
        <v>21</v>
      </c>
      <c r="B26" s="27">
        <f>B25*(1+Supuestos!C7)</f>
        <v>153.81158574702712</v>
      </c>
      <c r="C26" s="27">
        <f>C25*(1-Supuestos!C9)+B26</f>
        <v>1002.4236445837926</v>
      </c>
      <c r="D26" s="27">
        <f>MAX(0,C26-Supuestos!C14)*Supuestos!C8</f>
        <v>48.14541867502755</v>
      </c>
      <c r="E26" s="28">
        <f>Supuestos!C12*(1-Supuestos!C13*Supuestos!C15)</f>
        <v>97.515000000000001</v>
      </c>
      <c r="F26" s="29">
        <f t="shared" si="0"/>
        <v>4694.9005020953118</v>
      </c>
      <c r="G26" s="29">
        <f t="shared" si="1"/>
        <v>56338.806025143742</v>
      </c>
      <c r="H26" s="29">
        <f>D26*Supuestos!C10</f>
        <v>1203.6354668756887</v>
      </c>
      <c r="I26" s="29">
        <f t="shared" si="2"/>
        <v>3491.2650352196233</v>
      </c>
      <c r="J26" s="30">
        <f t="shared" si="3"/>
        <v>0.74362918525355082</v>
      </c>
    </row>
    <row r="27" spans="1:10" x14ac:dyDescent="0.25">
      <c r="A27" s="26">
        <v>22</v>
      </c>
      <c r="B27" s="27">
        <f>B26*(1+Supuestos!C7)</f>
        <v>166.11651260678931</v>
      </c>
      <c r="C27" s="27">
        <f>C26*(1-Supuestos!C9)+B27</f>
        <v>1088.3462656238785</v>
      </c>
      <c r="D27" s="27">
        <f>MAX(0,C27-Supuestos!C14)*Supuestos!C8</f>
        <v>53.300775937432704</v>
      </c>
      <c r="E27" s="28">
        <f>Supuestos!C12*(1-Supuestos!C13*Supuestos!C15)</f>
        <v>97.515000000000001</v>
      </c>
      <c r="F27" s="29">
        <f t="shared" si="0"/>
        <v>5197.6251655387505</v>
      </c>
      <c r="G27" s="29">
        <f t="shared" si="1"/>
        <v>62371.501986465009</v>
      </c>
      <c r="H27" s="29">
        <f>D27*Supuestos!C10</f>
        <v>1332.5193984358175</v>
      </c>
      <c r="I27" s="29">
        <f t="shared" si="2"/>
        <v>3865.105767102933</v>
      </c>
      <c r="J27" s="30">
        <f t="shared" si="3"/>
        <v>0.74362918525355082</v>
      </c>
    </row>
    <row r="28" spans="1:10" x14ac:dyDescent="0.25">
      <c r="A28" s="26">
        <v>23</v>
      </c>
      <c r="B28" s="27">
        <f>B27*(1+Supuestos!C7)</f>
        <v>179.40583361533248</v>
      </c>
      <c r="C28" s="27">
        <f>C27*(1-Supuestos!C9)+B28</f>
        <v>1180.6843979893008</v>
      </c>
      <c r="D28" s="27">
        <f>MAX(0,C28-Supuestos!C14)*Supuestos!C8</f>
        <v>58.841063879358046</v>
      </c>
      <c r="E28" s="28">
        <f>Supuestos!C12*(1-Supuestos!C13*Supuestos!C15)</f>
        <v>97.515000000000001</v>
      </c>
      <c r="F28" s="29">
        <f t="shared" si="0"/>
        <v>5737.8863441956</v>
      </c>
      <c r="G28" s="29">
        <f t="shared" si="1"/>
        <v>68854.636130347208</v>
      </c>
      <c r="H28" s="29">
        <f>D28*Supuestos!C10</f>
        <v>1471.0265969839511</v>
      </c>
      <c r="I28" s="29">
        <f t="shared" si="2"/>
        <v>4266.8597472116489</v>
      </c>
      <c r="J28" s="30">
        <f t="shared" si="3"/>
        <v>0.74362918525355071</v>
      </c>
    </row>
    <row r="29" spans="1:10" x14ac:dyDescent="0.25">
      <c r="A29" s="26">
        <v>24</v>
      </c>
      <c r="B29" s="27">
        <f>B28*(1+Supuestos!C7)</f>
        <v>193.7583003045591</v>
      </c>
      <c r="C29" s="27">
        <f>C28*(1-Supuestos!C9)+B29</f>
        <v>1279.9879464547159</v>
      </c>
      <c r="D29" s="27">
        <f>MAX(0,C29-Supuestos!C14)*Supuestos!C8</f>
        <v>64.799276787282949</v>
      </c>
      <c r="E29" s="28">
        <f>Supuestos!C12*(1-Supuestos!C13*Supuestos!C15)</f>
        <v>97.515000000000001</v>
      </c>
      <c r="F29" s="29">
        <f t="shared" si="0"/>
        <v>6318.9014759118973</v>
      </c>
      <c r="G29" s="29">
        <f t="shared" si="1"/>
        <v>75826.817710942763</v>
      </c>
      <c r="H29" s="29">
        <f>D29*Supuestos!C10</f>
        <v>1619.9819196820738</v>
      </c>
      <c r="I29" s="29">
        <f t="shared" si="2"/>
        <v>4698.9195562298237</v>
      </c>
      <c r="J29" s="30">
        <f t="shared" si="3"/>
        <v>0.74362918525355082</v>
      </c>
    </row>
    <row r="30" spans="1:10" x14ac:dyDescent="0.25">
      <c r="A30" s="26">
        <v>25</v>
      </c>
      <c r="B30" s="27">
        <f>B29*(1+Supuestos!C7)</f>
        <v>209.25896432892384</v>
      </c>
      <c r="C30" s="27">
        <f>C29*(1-Supuestos!C9)+B30</f>
        <v>1386.8478750672625</v>
      </c>
      <c r="D30" s="27">
        <f>MAX(0,C30-Supuestos!C14)*Supuestos!C8</f>
        <v>71.210872504035748</v>
      </c>
      <c r="E30" s="28">
        <f>Supuestos!C12*(1-Supuestos!C13*Supuestos!C15)</f>
        <v>97.515000000000001</v>
      </c>
      <c r="F30" s="29">
        <f t="shared" si="0"/>
        <v>6944.1282322310462</v>
      </c>
      <c r="G30" s="29">
        <f t="shared" si="1"/>
        <v>83329.538786772551</v>
      </c>
      <c r="H30" s="29">
        <f>D30*Supuestos!C10</f>
        <v>1780.2718126008938</v>
      </c>
      <c r="I30" s="29">
        <f t="shared" si="2"/>
        <v>5163.8564196301522</v>
      </c>
      <c r="J30" s="30">
        <f t="shared" si="3"/>
        <v>0.74362918525355071</v>
      </c>
    </row>
    <row r="31" spans="1:10" x14ac:dyDescent="0.25">
      <c r="A31" s="26">
        <v>26</v>
      </c>
      <c r="B31" s="27">
        <f>B30*(1+Supuestos!C7)</f>
        <v>225.99968147523776</v>
      </c>
      <c r="C31" s="27">
        <f>C30*(1-Supuestos!C9)+B31</f>
        <v>1501.8997265371195</v>
      </c>
      <c r="D31" s="27">
        <f>MAX(0,C31-Supuestos!C14)*Supuestos!C8</f>
        <v>78.113983592227171</v>
      </c>
      <c r="E31" s="28">
        <f>Supuestos!C12*(1-Supuestos!C13*Supuestos!C15)</f>
        <v>97.515000000000001</v>
      </c>
      <c r="F31" s="29">
        <f t="shared" si="0"/>
        <v>7617.2851099960326</v>
      </c>
      <c r="G31" s="29">
        <f t="shared" si="1"/>
        <v>91407.421319952395</v>
      </c>
      <c r="H31" s="29">
        <f>D31*Supuestos!C10</f>
        <v>1952.8495898056792</v>
      </c>
      <c r="I31" s="29">
        <f t="shared" si="2"/>
        <v>5664.4355201903536</v>
      </c>
      <c r="J31" s="30">
        <f t="shared" si="3"/>
        <v>0.74362918525355082</v>
      </c>
    </row>
    <row r="32" spans="1:10" x14ac:dyDescent="0.25">
      <c r="A32" s="26">
        <v>27</v>
      </c>
      <c r="B32" s="27">
        <f>B31*(1+Supuestos!C7)</f>
        <v>244.07965599325681</v>
      </c>
      <c r="C32" s="27">
        <f>C31*(1-Supuestos!C9)+B32</f>
        <v>1625.8274044074069</v>
      </c>
      <c r="D32" s="27">
        <f>MAX(0,C32-Supuestos!C14)*Supuestos!C8</f>
        <v>85.54964426444441</v>
      </c>
      <c r="E32" s="28">
        <f>Supuestos!C12*(1-Supuestos!C13*Supuestos!C15)</f>
        <v>97.515000000000001</v>
      </c>
      <c r="F32" s="29">
        <f t="shared" si="0"/>
        <v>8342.3735604472968</v>
      </c>
      <c r="G32" s="29">
        <f t="shared" si="1"/>
        <v>100108.48272536756</v>
      </c>
      <c r="H32" s="29">
        <f>D32*Supuestos!C10</f>
        <v>2138.7411066111104</v>
      </c>
      <c r="I32" s="29">
        <f t="shared" si="2"/>
        <v>6203.632453836186</v>
      </c>
      <c r="J32" s="30">
        <f t="shared" si="3"/>
        <v>0.74362918525355071</v>
      </c>
    </row>
    <row r="33" spans="1:10" x14ac:dyDescent="0.25">
      <c r="A33" s="26">
        <v>28</v>
      </c>
      <c r="B33" s="27">
        <f>B32*(1+Supuestos!C7)</f>
        <v>263.60602847271736</v>
      </c>
      <c r="C33" s="27">
        <f>C32*(1-Supuestos!C9)+B33</f>
        <v>1759.3672405275317</v>
      </c>
      <c r="D33" s="27">
        <f>MAX(0,C33-Supuestos!C14)*Supuestos!C8</f>
        <v>93.562034431651895</v>
      </c>
      <c r="E33" s="28">
        <f>Supuestos!C12*(1-Supuestos!C13*Supuestos!C15)</f>
        <v>97.515000000000001</v>
      </c>
      <c r="F33" s="29">
        <f t="shared" si="0"/>
        <v>9123.7017876025348</v>
      </c>
      <c r="G33" s="29">
        <f t="shared" si="1"/>
        <v>109484.42145123042</v>
      </c>
      <c r="H33" s="29">
        <f>D33*Supuestos!C10</f>
        <v>2339.0508607912975</v>
      </c>
      <c r="I33" s="29">
        <f t="shared" si="2"/>
        <v>6784.6509268112368</v>
      </c>
      <c r="J33" s="30">
        <f t="shared" si="3"/>
        <v>0.74362918525355071</v>
      </c>
    </row>
    <row r="34" spans="1:10" x14ac:dyDescent="0.25">
      <c r="A34" s="26">
        <v>29</v>
      </c>
      <c r="B34" s="27">
        <f>B33*(1+Supuestos!C7)</f>
        <v>284.69451075053479</v>
      </c>
      <c r="C34" s="27">
        <f>C33*(1-Supuestos!C9)+B34</f>
        <v>1903.3123720358642</v>
      </c>
      <c r="D34" s="27">
        <f>MAX(0,C34-Supuestos!C14)*Supuestos!C8</f>
        <v>102.19874232215184</v>
      </c>
      <c r="E34" s="28">
        <f>Supuestos!C12*(1-Supuestos!C13*Supuestos!C15)</f>
        <v>97.515000000000001</v>
      </c>
      <c r="F34" s="29">
        <f t="shared" si="0"/>
        <v>9965.910357544637</v>
      </c>
      <c r="G34" s="29">
        <f t="shared" si="1"/>
        <v>119590.92429053565</v>
      </c>
      <c r="H34" s="29">
        <f>D34*Supuestos!C10</f>
        <v>2554.9685580537962</v>
      </c>
      <c r="I34" s="29">
        <f t="shared" si="2"/>
        <v>7410.9417994908408</v>
      </c>
      <c r="J34" s="30">
        <f t="shared" si="3"/>
        <v>0.74362918525355071</v>
      </c>
    </row>
    <row r="35" spans="1:10" x14ac:dyDescent="0.25">
      <c r="A35" s="26">
        <v>30</v>
      </c>
      <c r="B35" s="27">
        <f>B34*(1+Supuestos!C7)</f>
        <v>307.47007161057758</v>
      </c>
      <c r="C35" s="27">
        <f>C34*(1-Supuestos!C9)+B35</f>
        <v>2058.5174538835727</v>
      </c>
      <c r="D35" s="27">
        <f>MAX(0,C35-Supuestos!C14)*Supuestos!C8</f>
        <v>111.51104723301435</v>
      </c>
      <c r="E35" s="28">
        <f>Supuestos!C12*(1-Supuestos!C13*Supuestos!C15)</f>
        <v>97.515000000000001</v>
      </c>
      <c r="F35" s="29">
        <f t="shared" si="0"/>
        <v>10873.999770927394</v>
      </c>
      <c r="G35" s="29">
        <f t="shared" si="1"/>
        <v>130487.99725112872</v>
      </c>
      <c r="H35" s="29">
        <f>D35*Supuestos!C10</f>
        <v>2787.776180825359</v>
      </c>
      <c r="I35" s="29">
        <f t="shared" si="2"/>
        <v>8086.2235901020349</v>
      </c>
      <c r="J35" s="30">
        <f t="shared" si="3"/>
        <v>0.74362918525355071</v>
      </c>
    </row>
    <row r="36" spans="1:10" x14ac:dyDescent="0.25">
      <c r="A36" s="26">
        <v>31</v>
      </c>
      <c r="B36" s="27">
        <f>B35*(1+Supuestos!C7)</f>
        <v>332.06767733942382</v>
      </c>
      <c r="C36" s="27">
        <f>C35*(1-Supuestos!C9)+B36</f>
        <v>2225.9037349123105</v>
      </c>
      <c r="D36" s="27">
        <f>MAX(0,C36-Supuestos!C14)*Supuestos!C8</f>
        <v>121.55422409473863</v>
      </c>
      <c r="E36" s="28">
        <f>Supuestos!C12*(1-Supuestos!C13*Supuestos!C15)</f>
        <v>97.515000000000001</v>
      </c>
      <c r="F36" s="29">
        <f t="shared" si="0"/>
        <v>11853.360162598437</v>
      </c>
      <c r="G36" s="29">
        <f t="shared" si="1"/>
        <v>142240.32195118125</v>
      </c>
      <c r="H36" s="29">
        <f>D36*Supuestos!C10</f>
        <v>3038.855602368466</v>
      </c>
      <c r="I36" s="29">
        <f t="shared" si="2"/>
        <v>8814.5045602299724</v>
      </c>
      <c r="J36" s="30">
        <f t="shared" si="3"/>
        <v>0.74362918525355082</v>
      </c>
    </row>
    <row r="37" spans="1:10" x14ac:dyDescent="0.25">
      <c r="A37" s="26">
        <v>32</v>
      </c>
      <c r="B37" s="27">
        <f>B36*(1+Supuestos!C7)</f>
        <v>358.63309152657774</v>
      </c>
      <c r="C37" s="27">
        <f>C36*(1-Supuestos!C9)+B37</f>
        <v>2406.4645276459032</v>
      </c>
      <c r="D37" s="27">
        <f>MAX(0,C37-Supuestos!C14)*Supuestos!C8</f>
        <v>132.38787165875419</v>
      </c>
      <c r="E37" s="28">
        <f>Supuestos!C12*(1-Supuestos!C13*Supuestos!C15)</f>
        <v>97.515000000000001</v>
      </c>
      <c r="F37" s="29">
        <f t="shared" si="0"/>
        <v>12909.803304803416</v>
      </c>
      <c r="G37" s="29">
        <f t="shared" si="1"/>
        <v>154917.639657641</v>
      </c>
      <c r="H37" s="29">
        <f>D37*Supuestos!C10</f>
        <v>3309.6967914688548</v>
      </c>
      <c r="I37" s="29">
        <f t="shared" si="2"/>
        <v>9600.1065133345619</v>
      </c>
      <c r="J37" s="30">
        <f t="shared" si="3"/>
        <v>0.74362918525355082</v>
      </c>
    </row>
    <row r="38" spans="1:10" x14ac:dyDescent="0.25">
      <c r="A38" s="26">
        <v>33</v>
      </c>
      <c r="B38" s="27">
        <f>B37*(1+Supuestos!C7)</f>
        <v>387.32373884870401</v>
      </c>
      <c r="C38" s="27">
        <f>C37*(1-Supuestos!C9)+B38</f>
        <v>2601.2711042829351</v>
      </c>
      <c r="D38" s="27">
        <f>MAX(0,C38-Supuestos!C14)*Supuestos!C8</f>
        <v>144.07626625697611</v>
      </c>
      <c r="E38" s="28">
        <f>Supuestos!C12*(1-Supuestos!C13*Supuestos!C15)</f>
        <v>97.515000000000001</v>
      </c>
      <c r="F38" s="29">
        <f t="shared" si="0"/>
        <v>14049.597104049026</v>
      </c>
      <c r="G38" s="29">
        <f t="shared" si="1"/>
        <v>168595.16524858831</v>
      </c>
      <c r="H38" s="29">
        <f>D38*Supuestos!C10</f>
        <v>3601.9066564244026</v>
      </c>
      <c r="I38" s="29">
        <f t="shared" si="2"/>
        <v>10447.690447624624</v>
      </c>
      <c r="J38" s="30">
        <f t="shared" si="3"/>
        <v>0.74362918525355082</v>
      </c>
    </row>
    <row r="39" spans="1:10" x14ac:dyDescent="0.25">
      <c r="A39" s="26">
        <v>34</v>
      </c>
      <c r="B39" s="27">
        <f>B38*(1+Supuestos!C7)</f>
        <v>418.30963795660034</v>
      </c>
      <c r="C39" s="27">
        <f>C38*(1-Supuestos!C9)+B39</f>
        <v>2811.479053896901</v>
      </c>
      <c r="D39" s="27">
        <f>MAX(0,C39-Supuestos!C14)*Supuestos!C8</f>
        <v>156.68874323381405</v>
      </c>
      <c r="E39" s="28">
        <f>Supuestos!C12*(1-Supuestos!C13*Supuestos!C15)</f>
        <v>97.515000000000001</v>
      </c>
      <c r="F39" s="29">
        <f t="shared" si="0"/>
        <v>15279.502796445377</v>
      </c>
      <c r="G39" s="29">
        <f t="shared" si="1"/>
        <v>183354.03355734452</v>
      </c>
      <c r="H39" s="29">
        <f>D39*Supuestos!C10</f>
        <v>3917.2185808453514</v>
      </c>
      <c r="I39" s="29">
        <f t="shared" si="2"/>
        <v>11362.284215600026</v>
      </c>
      <c r="J39" s="30">
        <f t="shared" si="3"/>
        <v>0.74362918525355082</v>
      </c>
    </row>
    <row r="40" spans="1:10" x14ac:dyDescent="0.25">
      <c r="A40" s="26">
        <v>35</v>
      </c>
      <c r="B40" s="27">
        <f>B39*(1+Supuestos!C7)</f>
        <v>451.77440899312842</v>
      </c>
      <c r="C40" s="27">
        <f>C39*(1-Supuestos!C9)+B40</f>
        <v>3038.3351385782776</v>
      </c>
      <c r="D40" s="27">
        <f>MAX(0,C40-Supuestos!C14)*Supuestos!C8</f>
        <v>170.30010831469664</v>
      </c>
      <c r="E40" s="28">
        <f>Supuestos!C12*(1-Supuestos!C13*Supuestos!C15)</f>
        <v>97.515000000000001</v>
      </c>
      <c r="F40" s="29">
        <f t="shared" si="0"/>
        <v>16606.815062307644</v>
      </c>
      <c r="G40" s="29">
        <f t="shared" si="1"/>
        <v>199281.78074769172</v>
      </c>
      <c r="H40" s="29">
        <f>D40*Supuestos!C10</f>
        <v>4257.5027078674157</v>
      </c>
      <c r="I40" s="29">
        <f t="shared" si="2"/>
        <v>12349.312354440228</v>
      </c>
      <c r="J40" s="30">
        <f t="shared" si="3"/>
        <v>0.74362918525355082</v>
      </c>
    </row>
    <row r="41" spans="1:10" x14ac:dyDescent="0.25">
      <c r="A41" s="26">
        <v>36</v>
      </c>
      <c r="B41" s="27">
        <f>B40*(1+Supuestos!C7)</f>
        <v>487.91636171257875</v>
      </c>
      <c r="C41" s="27">
        <f>C40*(1-Supuestos!C9)+B41</f>
        <v>3283.1846892045942</v>
      </c>
      <c r="D41" s="27">
        <f>MAX(0,C41-Supuestos!C14)*Supuestos!C8</f>
        <v>184.99108135227564</v>
      </c>
      <c r="E41" s="28">
        <f>Supuestos!C12*(1-Supuestos!C13*Supuestos!C15)</f>
        <v>97.515000000000001</v>
      </c>
      <c r="F41" s="29">
        <f t="shared" si="0"/>
        <v>18039.405298067159</v>
      </c>
      <c r="G41" s="29">
        <f t="shared" si="1"/>
        <v>216472.86357680592</v>
      </c>
      <c r="H41" s="29">
        <f>D41*Supuestos!C10</f>
        <v>4624.7770338068913</v>
      </c>
      <c r="I41" s="29">
        <f t="shared" si="2"/>
        <v>13414.628264260267</v>
      </c>
      <c r="J41" s="30">
        <f t="shared" si="3"/>
        <v>0.74362918525355071</v>
      </c>
    </row>
    <row r="43" spans="1:10" ht="15.75" x14ac:dyDescent="0.25">
      <c r="A43" s="31" t="s">
        <v>59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0" ht="30" x14ac:dyDescent="0.25">
      <c r="A44" s="18" t="s">
        <v>49</v>
      </c>
      <c r="B44" s="18" t="s">
        <v>50</v>
      </c>
      <c r="C44" s="18" t="s">
        <v>51</v>
      </c>
      <c r="D44" s="18" t="s">
        <v>52</v>
      </c>
      <c r="E44" s="18" t="s">
        <v>53</v>
      </c>
      <c r="F44" s="18" t="s">
        <v>54</v>
      </c>
      <c r="G44" s="18" t="s">
        <v>55</v>
      </c>
      <c r="H44" s="18" t="s">
        <v>56</v>
      </c>
      <c r="I44" s="18" t="s">
        <v>57</v>
      </c>
      <c r="J44" s="18" t="s">
        <v>58</v>
      </c>
    </row>
    <row r="45" spans="1:10" x14ac:dyDescent="0.25">
      <c r="A45" s="26">
        <v>1</v>
      </c>
      <c r="B45" s="27">
        <f>Supuestos!D6</f>
        <v>47</v>
      </c>
      <c r="C45" s="27">
        <f>B45</f>
        <v>47</v>
      </c>
      <c r="D45" s="27">
        <f>MAX(0,C45-Supuestos!D14)*Supuestos!D8</f>
        <v>0</v>
      </c>
      <c r="E45" s="28">
        <f>Supuestos!D12*(1-Supuestos!D13*Supuestos!D15)</f>
        <v>96.03</v>
      </c>
      <c r="F45" s="29">
        <f t="shared" ref="F45:F80" si="4">D45*E45</f>
        <v>0</v>
      </c>
      <c r="G45" s="29">
        <f t="shared" ref="G45:G80" si="5">F45*12</f>
        <v>0</v>
      </c>
      <c r="H45" s="29">
        <f>D45*Supuestos!D10</f>
        <v>0</v>
      </c>
      <c r="I45" s="29">
        <f t="shared" ref="I45:I80" si="6">F45-H45</f>
        <v>0</v>
      </c>
      <c r="J45" s="30">
        <f t="shared" ref="J45:J80" si="7">IF(F45=0,0,I45/F45)</f>
        <v>0</v>
      </c>
    </row>
    <row r="46" spans="1:10" x14ac:dyDescent="0.25">
      <c r="A46" s="26">
        <v>2</v>
      </c>
      <c r="B46" s="27">
        <f>B45*(1+Supuestos!D7)</f>
        <v>51.7</v>
      </c>
      <c r="C46" s="27">
        <f>C45*(1-Supuestos!D9)+B46</f>
        <v>96.35</v>
      </c>
      <c r="D46" s="27">
        <f>MAX(0,C46-Supuestos!D14)*Supuestos!D8</f>
        <v>0</v>
      </c>
      <c r="E46" s="28">
        <f>Supuestos!D12*(1-Supuestos!D13*Supuestos!D15)</f>
        <v>96.03</v>
      </c>
      <c r="F46" s="29">
        <f t="shared" si="4"/>
        <v>0</v>
      </c>
      <c r="G46" s="29">
        <f t="shared" si="5"/>
        <v>0</v>
      </c>
      <c r="H46" s="29">
        <f>D46*Supuestos!D10</f>
        <v>0</v>
      </c>
      <c r="I46" s="29">
        <f t="shared" si="6"/>
        <v>0</v>
      </c>
      <c r="J46" s="30">
        <f t="shared" si="7"/>
        <v>0</v>
      </c>
    </row>
    <row r="47" spans="1:10" x14ac:dyDescent="0.25">
      <c r="A47" s="26">
        <v>3</v>
      </c>
      <c r="B47" s="27">
        <f>B46*(1+Supuestos!D7)</f>
        <v>56.870000000000005</v>
      </c>
      <c r="C47" s="27">
        <f>C46*(1-Supuestos!D9)+B47</f>
        <v>148.40249999999997</v>
      </c>
      <c r="D47" s="27">
        <f>MAX(0,C47-Supuestos!D14)*Supuestos!D8</f>
        <v>0</v>
      </c>
      <c r="E47" s="28">
        <f>Supuestos!D12*(1-Supuestos!D13*Supuestos!D15)</f>
        <v>96.03</v>
      </c>
      <c r="F47" s="29">
        <f t="shared" si="4"/>
        <v>0</v>
      </c>
      <c r="G47" s="29">
        <f t="shared" si="5"/>
        <v>0</v>
      </c>
      <c r="H47" s="29">
        <f>D47*Supuestos!D10</f>
        <v>0</v>
      </c>
      <c r="I47" s="29">
        <f t="shared" si="6"/>
        <v>0</v>
      </c>
      <c r="J47" s="30">
        <f t="shared" si="7"/>
        <v>0</v>
      </c>
    </row>
    <row r="48" spans="1:10" x14ac:dyDescent="0.25">
      <c r="A48" s="26">
        <v>4</v>
      </c>
      <c r="B48" s="27">
        <f>B47*(1+Supuestos!D7)</f>
        <v>62.557000000000009</v>
      </c>
      <c r="C48" s="27">
        <f>C47*(1-Supuestos!D9)+B48</f>
        <v>203.53937499999998</v>
      </c>
      <c r="D48" s="27">
        <f>MAX(0,C48-Supuestos!D14)*Supuestos!D8</f>
        <v>0.42472499999999741</v>
      </c>
      <c r="E48" s="28">
        <f>Supuestos!D12*(1-Supuestos!D13*Supuestos!D15)</f>
        <v>96.03</v>
      </c>
      <c r="F48" s="29">
        <f t="shared" si="4"/>
        <v>40.78634174999975</v>
      </c>
      <c r="G48" s="29">
        <f t="shared" si="5"/>
        <v>489.436100999997</v>
      </c>
      <c r="H48" s="29">
        <f>D48*Supuestos!D10</f>
        <v>8.4944999999999489</v>
      </c>
      <c r="I48" s="29">
        <f t="shared" si="6"/>
        <v>32.291841749999804</v>
      </c>
      <c r="J48" s="30">
        <f t="shared" si="7"/>
        <v>0.79173175049463718</v>
      </c>
    </row>
    <row r="49" spans="1:10" x14ac:dyDescent="0.25">
      <c r="A49" s="26">
        <v>5</v>
      </c>
      <c r="B49" s="27">
        <f>B48*(1+Supuestos!D7)</f>
        <v>68.812700000000021</v>
      </c>
      <c r="C49" s="27">
        <f>C48*(1-Supuestos!D9)+B49</f>
        <v>262.17510625</v>
      </c>
      <c r="D49" s="27">
        <f>MAX(0,C49-Supuestos!D14)*Supuestos!D8</f>
        <v>7.4610127499999992</v>
      </c>
      <c r="E49" s="28">
        <f>Supuestos!D12*(1-Supuestos!D13*Supuestos!D15)</f>
        <v>96.03</v>
      </c>
      <c r="F49" s="29">
        <f t="shared" si="4"/>
        <v>716.48105438249991</v>
      </c>
      <c r="G49" s="29">
        <f t="shared" si="5"/>
        <v>8597.7726525899998</v>
      </c>
      <c r="H49" s="29">
        <f>D49*Supuestos!D10</f>
        <v>149.22025499999998</v>
      </c>
      <c r="I49" s="29">
        <f t="shared" si="6"/>
        <v>567.26079938249995</v>
      </c>
      <c r="J49" s="30">
        <f t="shared" si="7"/>
        <v>0.79173175049463718</v>
      </c>
    </row>
    <row r="50" spans="1:10" x14ac:dyDescent="0.25">
      <c r="A50" s="26">
        <v>6</v>
      </c>
      <c r="B50" s="27">
        <f>B49*(1+Supuestos!D7)</f>
        <v>75.693970000000036</v>
      </c>
      <c r="C50" s="27">
        <f>C49*(1-Supuestos!D9)+B50</f>
        <v>324.76032093750001</v>
      </c>
      <c r="D50" s="27">
        <f>MAX(0,C50-Supuestos!D14)*Supuestos!D8</f>
        <v>14.971238512500001</v>
      </c>
      <c r="E50" s="28">
        <f>Supuestos!D12*(1-Supuestos!D13*Supuestos!D15)</f>
        <v>96.03</v>
      </c>
      <c r="F50" s="29">
        <f t="shared" si="4"/>
        <v>1437.6880343553751</v>
      </c>
      <c r="G50" s="29">
        <f t="shared" si="5"/>
        <v>17252.256412264502</v>
      </c>
      <c r="H50" s="29">
        <f>D50*Supuestos!D10</f>
        <v>299.42477025000005</v>
      </c>
      <c r="I50" s="29">
        <f t="shared" si="6"/>
        <v>1138.2632641053751</v>
      </c>
      <c r="J50" s="30">
        <f t="shared" si="7"/>
        <v>0.79173175049463718</v>
      </c>
    </row>
    <row r="51" spans="1:10" x14ac:dyDescent="0.25">
      <c r="A51" s="26">
        <v>7</v>
      </c>
      <c r="B51" s="27">
        <f>B50*(1+Supuestos!D7)</f>
        <v>83.263367000000045</v>
      </c>
      <c r="C51" s="27">
        <f>C50*(1-Supuestos!D9)+B51</f>
        <v>391.78567189062505</v>
      </c>
      <c r="D51" s="27">
        <f>MAX(0,C51-Supuestos!D14)*Supuestos!D8</f>
        <v>23.014280626875006</v>
      </c>
      <c r="E51" s="28">
        <f>Supuestos!D12*(1-Supuestos!D13*Supuestos!D15)</f>
        <v>96.03</v>
      </c>
      <c r="F51" s="29">
        <f t="shared" si="4"/>
        <v>2210.0613685988069</v>
      </c>
      <c r="G51" s="29">
        <f t="shared" si="5"/>
        <v>26520.736423185685</v>
      </c>
      <c r="H51" s="29">
        <f>D51*Supuestos!D10</f>
        <v>460.28561253750013</v>
      </c>
      <c r="I51" s="29">
        <f t="shared" si="6"/>
        <v>1749.7757560613068</v>
      </c>
      <c r="J51" s="30">
        <f t="shared" si="7"/>
        <v>0.79173175049463707</v>
      </c>
    </row>
    <row r="52" spans="1:10" x14ac:dyDescent="0.25">
      <c r="A52" s="26">
        <v>8</v>
      </c>
      <c r="B52" s="27">
        <f>B51*(1+Supuestos!D7)</f>
        <v>91.589703700000058</v>
      </c>
      <c r="C52" s="27">
        <f>C51*(1-Supuestos!D9)+B52</f>
        <v>463.78609199609389</v>
      </c>
      <c r="D52" s="27">
        <f>MAX(0,C52-Supuestos!D14)*Supuestos!D8</f>
        <v>31.654331039531264</v>
      </c>
      <c r="E52" s="28">
        <f>Supuestos!D12*(1-Supuestos!D13*Supuestos!D15)</f>
        <v>96.03</v>
      </c>
      <c r="F52" s="29">
        <f t="shared" si="4"/>
        <v>3039.7654097261875</v>
      </c>
      <c r="G52" s="29">
        <f t="shared" si="5"/>
        <v>36477.18491671425</v>
      </c>
      <c r="H52" s="29">
        <f>D52*Supuestos!D10</f>
        <v>633.08662079062526</v>
      </c>
      <c r="I52" s="29">
        <f t="shared" si="6"/>
        <v>2406.6787889355624</v>
      </c>
      <c r="J52" s="30">
        <f t="shared" si="7"/>
        <v>0.79173175049463718</v>
      </c>
    </row>
    <row r="53" spans="1:10" x14ac:dyDescent="0.25">
      <c r="A53" s="26">
        <v>9</v>
      </c>
      <c r="B53" s="27">
        <f>B52*(1+Supuestos!D7)</f>
        <v>100.74867407000008</v>
      </c>
      <c r="C53" s="27">
        <f>C52*(1-Supuestos!D9)+B53</f>
        <v>541.34546146628929</v>
      </c>
      <c r="D53" s="27">
        <f>MAX(0,C53-Supuestos!D14)*Supuestos!D8</f>
        <v>40.961455375954714</v>
      </c>
      <c r="E53" s="28">
        <f>Supuestos!D12*(1-Supuestos!D13*Supuestos!D15)</f>
        <v>96.03</v>
      </c>
      <c r="F53" s="29">
        <f t="shared" si="4"/>
        <v>3933.528559752931</v>
      </c>
      <c r="G53" s="29">
        <f t="shared" si="5"/>
        <v>47202.342717035172</v>
      </c>
      <c r="H53" s="29">
        <f>D53*Supuestos!D10</f>
        <v>819.22910751909421</v>
      </c>
      <c r="I53" s="29">
        <f t="shared" si="6"/>
        <v>3114.2994522338367</v>
      </c>
      <c r="J53" s="30">
        <f t="shared" si="7"/>
        <v>0.79173175049463707</v>
      </c>
    </row>
    <row r="54" spans="1:10" x14ac:dyDescent="0.25">
      <c r="A54" s="26">
        <v>10</v>
      </c>
      <c r="B54" s="27">
        <f>B53*(1+Supuestos!D7)</f>
        <v>110.82354147700009</v>
      </c>
      <c r="C54" s="27">
        <f>C53*(1-Supuestos!D9)+B54</f>
        <v>625.10172986997486</v>
      </c>
      <c r="D54" s="27">
        <f>MAX(0,C54-Supuestos!D14)*Supuestos!D8</f>
        <v>51.012207584396982</v>
      </c>
      <c r="E54" s="28">
        <f>Supuestos!D12*(1-Supuestos!D13*Supuestos!D15)</f>
        <v>96.03</v>
      </c>
      <c r="F54" s="29">
        <f t="shared" si="4"/>
        <v>4898.7022943296424</v>
      </c>
      <c r="G54" s="29">
        <f t="shared" si="5"/>
        <v>58784.427531955705</v>
      </c>
      <c r="H54" s="29">
        <f>D54*Supuestos!D10</f>
        <v>1020.2441516879396</v>
      </c>
      <c r="I54" s="29">
        <f t="shared" si="6"/>
        <v>3878.4581426417026</v>
      </c>
      <c r="J54" s="30">
        <f t="shared" si="7"/>
        <v>0.79173175049463707</v>
      </c>
    </row>
    <row r="55" spans="1:10" x14ac:dyDescent="0.25">
      <c r="A55" s="26">
        <v>11</v>
      </c>
      <c r="B55" s="27">
        <f>B54*(1+Supuestos!D7)</f>
        <v>121.90589562470011</v>
      </c>
      <c r="C55" s="27">
        <f>C54*(1-Supuestos!D9)+B55</f>
        <v>715.75253900117616</v>
      </c>
      <c r="D55" s="27">
        <f>MAX(0,C55-Supuestos!D14)*Supuestos!D8</f>
        <v>61.890304680141135</v>
      </c>
      <c r="E55" s="28">
        <f>Supuestos!D12*(1-Supuestos!D13*Supuestos!D15)</f>
        <v>96.03</v>
      </c>
      <c r="F55" s="29">
        <f t="shared" si="4"/>
        <v>5943.325958433953</v>
      </c>
      <c r="G55" s="29">
        <f t="shared" si="5"/>
        <v>71319.911501207433</v>
      </c>
      <c r="H55" s="29">
        <f>D55*Supuestos!D10</f>
        <v>1237.8060936028228</v>
      </c>
      <c r="I55" s="29">
        <f t="shared" si="6"/>
        <v>4705.5198648311307</v>
      </c>
      <c r="J55" s="30">
        <f t="shared" si="7"/>
        <v>0.79173175049463718</v>
      </c>
    </row>
    <row r="56" spans="1:10" x14ac:dyDescent="0.25">
      <c r="A56" s="26">
        <v>12</v>
      </c>
      <c r="B56" s="27">
        <f>B55*(1+Supuestos!D7)</f>
        <v>134.09648518717012</v>
      </c>
      <c r="C56" s="27">
        <f>C55*(1-Supuestos!D9)+B56</f>
        <v>814.06139723828733</v>
      </c>
      <c r="D56" s="27">
        <f>MAX(0,C56-Supuestos!D14)*Supuestos!D8</f>
        <v>73.687367668594476</v>
      </c>
      <c r="E56" s="28">
        <f>Supuestos!D12*(1-Supuestos!D13*Supuestos!D15)</f>
        <v>96.03</v>
      </c>
      <c r="F56" s="29">
        <f t="shared" si="4"/>
        <v>7076.1979172151277</v>
      </c>
      <c r="G56" s="29">
        <f t="shared" si="5"/>
        <v>84914.37500658154</v>
      </c>
      <c r="H56" s="29">
        <f>D56*Supuestos!D10</f>
        <v>1473.7473533718894</v>
      </c>
      <c r="I56" s="29">
        <f t="shared" si="6"/>
        <v>5602.4505638432383</v>
      </c>
      <c r="J56" s="30">
        <f t="shared" si="7"/>
        <v>0.79173175049463707</v>
      </c>
    </row>
    <row r="57" spans="1:10" x14ac:dyDescent="0.25">
      <c r="A57" s="26">
        <v>13</v>
      </c>
      <c r="B57" s="27">
        <f>B56*(1+Supuestos!D7)</f>
        <v>147.50613370588715</v>
      </c>
      <c r="C57" s="27">
        <f>C56*(1-Supuestos!D9)+B57</f>
        <v>920.86446108226005</v>
      </c>
      <c r="D57" s="27">
        <f>MAX(0,C57-Supuestos!D14)*Supuestos!D8</f>
        <v>86.503735329871205</v>
      </c>
      <c r="E57" s="28">
        <f>Supuestos!D12*(1-Supuestos!D13*Supuestos!D15)</f>
        <v>96.03</v>
      </c>
      <c r="F57" s="29">
        <f t="shared" si="4"/>
        <v>8306.9537037275313</v>
      </c>
      <c r="G57" s="29">
        <f t="shared" si="5"/>
        <v>99683.444444730383</v>
      </c>
      <c r="H57" s="29">
        <f>D57*Supuestos!D10</f>
        <v>1730.0747065974242</v>
      </c>
      <c r="I57" s="29">
        <f t="shared" si="6"/>
        <v>6576.8789971301067</v>
      </c>
      <c r="J57" s="30">
        <f t="shared" si="7"/>
        <v>0.79173175049463707</v>
      </c>
    </row>
    <row r="58" spans="1:10" x14ac:dyDescent="0.25">
      <c r="A58" s="26">
        <v>14</v>
      </c>
      <c r="B58" s="27">
        <f>B57*(1+Supuestos!D7)</f>
        <v>162.25674707647588</v>
      </c>
      <c r="C58" s="27">
        <f>C57*(1-Supuestos!D9)+B58</f>
        <v>1037.0779851046229</v>
      </c>
      <c r="D58" s="27">
        <f>MAX(0,C58-Supuestos!D14)*Supuestos!D8</f>
        <v>100.44935821255474</v>
      </c>
      <c r="E58" s="28">
        <f>Supuestos!D12*(1-Supuestos!D13*Supuestos!D15)</f>
        <v>96.03</v>
      </c>
      <c r="F58" s="29">
        <f t="shared" si="4"/>
        <v>9646.1518691516321</v>
      </c>
      <c r="G58" s="29">
        <f t="shared" si="5"/>
        <v>115753.82242981959</v>
      </c>
      <c r="H58" s="29">
        <f>D58*Supuestos!D10</f>
        <v>2008.9871642510948</v>
      </c>
      <c r="I58" s="29">
        <f t="shared" si="6"/>
        <v>7637.1647049005369</v>
      </c>
      <c r="J58" s="30">
        <f t="shared" si="7"/>
        <v>0.79173175049463707</v>
      </c>
    </row>
    <row r="59" spans="1:10" x14ac:dyDescent="0.25">
      <c r="A59" s="26">
        <v>15</v>
      </c>
      <c r="B59" s="27">
        <f>B58*(1+Supuestos!D7)</f>
        <v>178.48242178412349</v>
      </c>
      <c r="C59" s="27">
        <f>C58*(1-Supuestos!D9)+B59</f>
        <v>1163.7065076335152</v>
      </c>
      <c r="D59" s="27">
        <f>MAX(0,C59-Supuestos!D14)*Supuestos!D8</f>
        <v>115.64478091602183</v>
      </c>
      <c r="E59" s="28">
        <f>Supuestos!D12*(1-Supuestos!D13*Supuestos!D15)</f>
        <v>96.03</v>
      </c>
      <c r="F59" s="29">
        <f t="shared" si="4"/>
        <v>11105.368311365577</v>
      </c>
      <c r="G59" s="29">
        <f t="shared" si="5"/>
        <v>133264.41973638692</v>
      </c>
      <c r="H59" s="29">
        <f>D59*Supuestos!D10</f>
        <v>2312.8956183204364</v>
      </c>
      <c r="I59" s="29">
        <f t="shared" si="6"/>
        <v>8792.4726930451397</v>
      </c>
      <c r="J59" s="30">
        <f t="shared" si="7"/>
        <v>0.79173175049463707</v>
      </c>
    </row>
    <row r="60" spans="1:10" x14ac:dyDescent="0.25">
      <c r="A60" s="26">
        <v>16</v>
      </c>
      <c r="B60" s="27">
        <f>B59*(1+Supuestos!D7)</f>
        <v>196.33066396253585</v>
      </c>
      <c r="C60" s="27">
        <f>C59*(1-Supuestos!D9)+B60</f>
        <v>1301.8518462143754</v>
      </c>
      <c r="D60" s="27">
        <f>MAX(0,C60-Supuestos!D14)*Supuestos!D8</f>
        <v>132.22222154572503</v>
      </c>
      <c r="E60" s="28">
        <f>Supuestos!D12*(1-Supuestos!D13*Supuestos!D15)</f>
        <v>96.03</v>
      </c>
      <c r="F60" s="29">
        <f t="shared" si="4"/>
        <v>12697.299935035975</v>
      </c>
      <c r="G60" s="29">
        <f t="shared" si="5"/>
        <v>152367.5992204317</v>
      </c>
      <c r="H60" s="29">
        <f>D60*Supuestos!D10</f>
        <v>2644.4444309145006</v>
      </c>
      <c r="I60" s="29">
        <f t="shared" si="6"/>
        <v>10052.855504121475</v>
      </c>
      <c r="J60" s="30">
        <f t="shared" si="7"/>
        <v>0.79173175049463718</v>
      </c>
    </row>
    <row r="61" spans="1:10" x14ac:dyDescent="0.25">
      <c r="A61" s="26">
        <v>17</v>
      </c>
      <c r="B61" s="27">
        <f>B60*(1+Supuestos!D7)</f>
        <v>215.96373035878946</v>
      </c>
      <c r="C61" s="27">
        <f>C60*(1-Supuestos!D9)+B61</f>
        <v>1452.7229842624461</v>
      </c>
      <c r="D61" s="27">
        <f>MAX(0,C61-Supuestos!D14)*Supuestos!D8</f>
        <v>150.32675811149352</v>
      </c>
      <c r="E61" s="28">
        <f>Supuestos!D12*(1-Supuestos!D13*Supuestos!D15)</f>
        <v>96.03</v>
      </c>
      <c r="F61" s="29">
        <f t="shared" si="4"/>
        <v>14435.878581446723</v>
      </c>
      <c r="G61" s="29">
        <f t="shared" si="5"/>
        <v>173230.54297736066</v>
      </c>
      <c r="H61" s="29">
        <f>D61*Supuestos!D10</f>
        <v>3006.5351622298704</v>
      </c>
      <c r="I61" s="29">
        <f t="shared" si="6"/>
        <v>11429.343419216853</v>
      </c>
      <c r="J61" s="30">
        <f t="shared" si="7"/>
        <v>0.79173175049463718</v>
      </c>
    </row>
    <row r="62" spans="1:10" x14ac:dyDescent="0.25">
      <c r="A62" s="26">
        <v>18</v>
      </c>
      <c r="B62" s="27">
        <f>B61*(1+Supuestos!D7)</f>
        <v>237.56010339466843</v>
      </c>
      <c r="C62" s="27">
        <f>C61*(1-Supuestos!D9)+B62</f>
        <v>1617.6469384439922</v>
      </c>
      <c r="D62" s="27">
        <f>MAX(0,C62-Supuestos!D14)*Supuestos!D8</f>
        <v>170.11763261327906</v>
      </c>
      <c r="E62" s="28">
        <f>Supuestos!D12*(1-Supuestos!D13*Supuestos!D15)</f>
        <v>96.03</v>
      </c>
      <c r="F62" s="29">
        <f t="shared" si="4"/>
        <v>16336.396259853187</v>
      </c>
      <c r="G62" s="29">
        <f t="shared" si="5"/>
        <v>196036.75511823824</v>
      </c>
      <c r="H62" s="29">
        <f>D62*Supuestos!D10</f>
        <v>3402.3526522655811</v>
      </c>
      <c r="I62" s="29">
        <f t="shared" si="6"/>
        <v>12934.043607587606</v>
      </c>
      <c r="J62" s="30">
        <f t="shared" si="7"/>
        <v>0.79173175049463707</v>
      </c>
    </row>
    <row r="63" spans="1:10" x14ac:dyDescent="0.25">
      <c r="A63" s="26">
        <v>19</v>
      </c>
      <c r="B63" s="27">
        <f>B62*(1+Supuestos!D7)</f>
        <v>261.31611373413529</v>
      </c>
      <c r="C63" s="27">
        <f>C62*(1-Supuestos!D9)+B63</f>
        <v>1798.0807052559278</v>
      </c>
      <c r="D63" s="27">
        <f>MAX(0,C63-Supuestos!D14)*Supuestos!D8</f>
        <v>191.76968463071134</v>
      </c>
      <c r="E63" s="28">
        <f>Supuestos!D12*(1-Supuestos!D13*Supuestos!D15)</f>
        <v>96.03</v>
      </c>
      <c r="F63" s="29">
        <f t="shared" si="4"/>
        <v>18415.642815087209</v>
      </c>
      <c r="G63" s="29">
        <f t="shared" si="5"/>
        <v>220987.71378104651</v>
      </c>
      <c r="H63" s="29">
        <f>D63*Supuestos!D10</f>
        <v>3835.3936926142269</v>
      </c>
      <c r="I63" s="29">
        <f t="shared" si="6"/>
        <v>14580.249122472982</v>
      </c>
      <c r="J63" s="30">
        <f t="shared" si="7"/>
        <v>0.79173175049463707</v>
      </c>
    </row>
    <row r="64" spans="1:10" x14ac:dyDescent="0.25">
      <c r="A64" s="26">
        <v>20</v>
      </c>
      <c r="B64" s="27">
        <f>B63*(1+Supuestos!D7)</f>
        <v>287.44772510754882</v>
      </c>
      <c r="C64" s="27">
        <f>C63*(1-Supuestos!D9)+B64</f>
        <v>1995.6243951006802</v>
      </c>
      <c r="D64" s="27">
        <f>MAX(0,C64-Supuestos!D14)*Supuestos!D8</f>
        <v>215.47492741208163</v>
      </c>
      <c r="E64" s="28">
        <f>Supuestos!D12*(1-Supuestos!D13*Supuestos!D15)</f>
        <v>96.03</v>
      </c>
      <c r="F64" s="29">
        <f t="shared" si="4"/>
        <v>20692.057279382199</v>
      </c>
      <c r="G64" s="29">
        <f t="shared" si="5"/>
        <v>248304.68735258639</v>
      </c>
      <c r="H64" s="29">
        <f>D64*Supuestos!D10</f>
        <v>4309.4985482416323</v>
      </c>
      <c r="I64" s="29">
        <f t="shared" si="6"/>
        <v>16382.558731140567</v>
      </c>
      <c r="J64" s="30">
        <f t="shared" si="7"/>
        <v>0.79173175049463707</v>
      </c>
    </row>
    <row r="65" spans="1:10" x14ac:dyDescent="0.25">
      <c r="A65" s="26">
        <v>21</v>
      </c>
      <c r="B65" s="27">
        <f>B64*(1+Supuestos!D7)</f>
        <v>316.19249761830372</v>
      </c>
      <c r="C65" s="27">
        <f>C64*(1-Supuestos!D9)+B65</f>
        <v>2212.0356729639498</v>
      </c>
      <c r="D65" s="27">
        <f>MAX(0,C65-Supuestos!D14)*Supuestos!D8</f>
        <v>241.44428075567396</v>
      </c>
      <c r="E65" s="28">
        <f>Supuestos!D12*(1-Supuestos!D13*Supuestos!D15)</f>
        <v>96.03</v>
      </c>
      <c r="F65" s="29">
        <f t="shared" si="4"/>
        <v>23185.894280967372</v>
      </c>
      <c r="G65" s="29">
        <f t="shared" si="5"/>
        <v>278230.73137160845</v>
      </c>
      <c r="H65" s="29">
        <f>D65*Supuestos!D10</f>
        <v>4828.8856151134787</v>
      </c>
      <c r="I65" s="29">
        <f t="shared" si="6"/>
        <v>18357.008665853893</v>
      </c>
      <c r="J65" s="30">
        <f t="shared" si="7"/>
        <v>0.79173175049463718</v>
      </c>
    </row>
    <row r="66" spans="1:10" x14ac:dyDescent="0.25">
      <c r="A66" s="26">
        <v>22</v>
      </c>
      <c r="B66" s="27">
        <f>B65*(1+Supuestos!D7)</f>
        <v>347.81174738013414</v>
      </c>
      <c r="C66" s="27">
        <f>C65*(1-Supuestos!D9)+B66</f>
        <v>2449.2456366958863</v>
      </c>
      <c r="D66" s="27">
        <f>MAX(0,C66-Supuestos!D14)*Supuestos!D8</f>
        <v>269.90947640350635</v>
      </c>
      <c r="E66" s="28">
        <f>Supuestos!D12*(1-Supuestos!D13*Supuestos!D15)</f>
        <v>96.03</v>
      </c>
      <c r="F66" s="29">
        <f t="shared" si="4"/>
        <v>25919.407019028713</v>
      </c>
      <c r="G66" s="29">
        <f t="shared" si="5"/>
        <v>311032.88422834454</v>
      </c>
      <c r="H66" s="29">
        <f>D66*Supuestos!D10</f>
        <v>5398.1895280701265</v>
      </c>
      <c r="I66" s="29">
        <f t="shared" si="6"/>
        <v>20521.217490958588</v>
      </c>
      <c r="J66" s="30">
        <f t="shared" si="7"/>
        <v>0.79173175049463718</v>
      </c>
    </row>
    <row r="67" spans="1:10" x14ac:dyDescent="0.25">
      <c r="A67" s="26">
        <v>23</v>
      </c>
      <c r="B67" s="27">
        <f>B66*(1+Supuestos!D7)</f>
        <v>382.59292211814756</v>
      </c>
      <c r="C67" s="27">
        <f>C66*(1-Supuestos!D9)+B67</f>
        <v>2709.3762769792397</v>
      </c>
      <c r="D67" s="27">
        <f>MAX(0,C67-Supuestos!D14)*Supuestos!D8</f>
        <v>301.12515323750875</v>
      </c>
      <c r="E67" s="28">
        <f>Supuestos!D12*(1-Supuestos!D13*Supuestos!D15)</f>
        <v>96.03</v>
      </c>
      <c r="F67" s="29">
        <f t="shared" si="4"/>
        <v>28917.048465397966</v>
      </c>
      <c r="G67" s="29">
        <f t="shared" si="5"/>
        <v>347004.58158477559</v>
      </c>
      <c r="H67" s="29">
        <f>D67*Supuestos!D10</f>
        <v>6022.5030647501753</v>
      </c>
      <c r="I67" s="29">
        <f t="shared" si="6"/>
        <v>22894.545400647788</v>
      </c>
      <c r="J67" s="30">
        <f t="shared" si="7"/>
        <v>0.79173175049463707</v>
      </c>
    </row>
    <row r="68" spans="1:10" x14ac:dyDescent="0.25">
      <c r="A68" s="26">
        <v>24</v>
      </c>
      <c r="B68" s="27">
        <f>B67*(1+Supuestos!D7)</f>
        <v>420.85221432996235</v>
      </c>
      <c r="C68" s="27">
        <f>C67*(1-Supuestos!D9)+B68</f>
        <v>2994.7596774602398</v>
      </c>
      <c r="D68" s="27">
        <f>MAX(0,C68-Supuestos!D14)*Supuestos!D8</f>
        <v>335.37116129522877</v>
      </c>
      <c r="E68" s="28">
        <f>Supuestos!D12*(1-Supuestos!D13*Supuestos!D15)</f>
        <v>96.03</v>
      </c>
      <c r="F68" s="29">
        <f t="shared" si="4"/>
        <v>32205.69261918082</v>
      </c>
      <c r="G68" s="29">
        <f t="shared" si="5"/>
        <v>386468.31143016985</v>
      </c>
      <c r="H68" s="29">
        <f>D68*Supuestos!D10</f>
        <v>6707.4232259045757</v>
      </c>
      <c r="I68" s="29">
        <f t="shared" si="6"/>
        <v>25498.269393276245</v>
      </c>
      <c r="J68" s="30">
        <f t="shared" si="7"/>
        <v>0.79173175049463707</v>
      </c>
    </row>
    <row r="69" spans="1:10" x14ac:dyDescent="0.25">
      <c r="A69" s="26">
        <v>25</v>
      </c>
      <c r="B69" s="27">
        <f>B68*(1+Supuestos!D7)</f>
        <v>462.93743576295861</v>
      </c>
      <c r="C69" s="27">
        <f>C68*(1-Supuestos!D9)+B69</f>
        <v>3307.9591293501862</v>
      </c>
      <c r="D69" s="27">
        <f>MAX(0,C69-Supuestos!D14)*Supuestos!D8</f>
        <v>372.95509552202236</v>
      </c>
      <c r="E69" s="28">
        <f>Supuestos!D12*(1-Supuestos!D13*Supuestos!D15)</f>
        <v>96.03</v>
      </c>
      <c r="F69" s="29">
        <f t="shared" si="4"/>
        <v>35814.877822979804</v>
      </c>
      <c r="G69" s="29">
        <f t="shared" si="5"/>
        <v>429778.53387575765</v>
      </c>
      <c r="H69" s="29">
        <f>D69*Supuestos!D10</f>
        <v>7459.1019104404477</v>
      </c>
      <c r="I69" s="29">
        <f t="shared" si="6"/>
        <v>28355.775912539357</v>
      </c>
      <c r="J69" s="30">
        <f t="shared" si="7"/>
        <v>0.79173175049463707</v>
      </c>
    </row>
    <row r="70" spans="1:10" x14ac:dyDescent="0.25">
      <c r="A70" s="26">
        <v>26</v>
      </c>
      <c r="B70" s="27">
        <f>B69*(1+Supuestos!D7)</f>
        <v>509.23117933925454</v>
      </c>
      <c r="C70" s="27">
        <f>C69*(1-Supuestos!D9)+B70</f>
        <v>3651.7923522219312</v>
      </c>
      <c r="D70" s="27">
        <f>MAX(0,C70-Supuestos!D14)*Supuestos!D8</f>
        <v>414.21508226663173</v>
      </c>
      <c r="E70" s="28">
        <f>Supuestos!D12*(1-Supuestos!D13*Supuestos!D15)</f>
        <v>96.03</v>
      </c>
      <c r="F70" s="29">
        <f t="shared" si="4"/>
        <v>39777.074350064642</v>
      </c>
      <c r="G70" s="29">
        <f t="shared" si="5"/>
        <v>477324.89220077568</v>
      </c>
      <c r="H70" s="29">
        <f>D70*Supuestos!D10</f>
        <v>8284.3016453326345</v>
      </c>
      <c r="I70" s="29">
        <f t="shared" si="6"/>
        <v>31492.772704732008</v>
      </c>
      <c r="J70" s="30">
        <f t="shared" si="7"/>
        <v>0.79173175049463707</v>
      </c>
    </row>
    <row r="71" spans="1:10" x14ac:dyDescent="0.25">
      <c r="A71" s="26">
        <v>27</v>
      </c>
      <c r="B71" s="27">
        <f>B70*(1+Supuestos!D7)</f>
        <v>560.15429727318008</v>
      </c>
      <c r="C71" s="27">
        <f>C70*(1-Supuestos!D9)+B71</f>
        <v>4029.3570318840143</v>
      </c>
      <c r="D71" s="27">
        <f>MAX(0,C71-Supuestos!D14)*Supuestos!D8</f>
        <v>459.52284382608173</v>
      </c>
      <c r="E71" s="28">
        <f>Supuestos!D12*(1-Supuestos!D13*Supuestos!D15)</f>
        <v>96.03</v>
      </c>
      <c r="F71" s="29">
        <f t="shared" si="4"/>
        <v>44127.978692618628</v>
      </c>
      <c r="G71" s="29">
        <f t="shared" si="5"/>
        <v>529535.74431142351</v>
      </c>
      <c r="H71" s="29">
        <f>D71*Supuestos!D10</f>
        <v>9190.4568765216354</v>
      </c>
      <c r="I71" s="29">
        <f t="shared" si="6"/>
        <v>34937.521816096996</v>
      </c>
      <c r="J71" s="30">
        <f t="shared" si="7"/>
        <v>0.79173175049463718</v>
      </c>
    </row>
    <row r="72" spans="1:10" x14ac:dyDescent="0.25">
      <c r="A72" s="26">
        <v>28</v>
      </c>
      <c r="B72" s="27">
        <f>B71*(1+Supuestos!D7)</f>
        <v>616.16972700049814</v>
      </c>
      <c r="C72" s="27">
        <f>C71*(1-Supuestos!D9)+B72</f>
        <v>4444.0589072903113</v>
      </c>
      <c r="D72" s="27">
        <f>MAX(0,C72-Supuestos!D14)*Supuestos!D8</f>
        <v>509.28706887483736</v>
      </c>
      <c r="E72" s="28">
        <f>Supuestos!D12*(1-Supuestos!D13*Supuestos!D15)</f>
        <v>96.03</v>
      </c>
      <c r="F72" s="29">
        <f t="shared" si="4"/>
        <v>48906.837224050629</v>
      </c>
      <c r="G72" s="29">
        <f t="shared" si="5"/>
        <v>586882.04668860754</v>
      </c>
      <c r="H72" s="29">
        <f>D72*Supuestos!D10</f>
        <v>10185.741377496746</v>
      </c>
      <c r="I72" s="29">
        <f t="shared" si="6"/>
        <v>38721.095846553886</v>
      </c>
      <c r="J72" s="30">
        <f t="shared" si="7"/>
        <v>0.79173175049463718</v>
      </c>
    </row>
    <row r="73" spans="1:10" x14ac:dyDescent="0.25">
      <c r="A73" s="26">
        <v>29</v>
      </c>
      <c r="B73" s="27">
        <f>B72*(1+Supuestos!D7)</f>
        <v>677.78669970054796</v>
      </c>
      <c r="C73" s="27">
        <f>C72*(1-Supuestos!D9)+B73</f>
        <v>4899.6426616263434</v>
      </c>
      <c r="D73" s="27">
        <f>MAX(0,C73-Supuestos!D14)*Supuestos!D8</f>
        <v>563.95711939516116</v>
      </c>
      <c r="E73" s="28">
        <f>Supuestos!D12*(1-Supuestos!D13*Supuestos!D15)</f>
        <v>96.03</v>
      </c>
      <c r="F73" s="29">
        <f t="shared" si="4"/>
        <v>54156.802175517325</v>
      </c>
      <c r="G73" s="29">
        <f t="shared" si="5"/>
        <v>649881.62610620796</v>
      </c>
      <c r="H73" s="29">
        <f>D73*Supuestos!D10</f>
        <v>11279.142387903223</v>
      </c>
      <c r="I73" s="29">
        <f t="shared" si="6"/>
        <v>42877.659787614102</v>
      </c>
      <c r="J73" s="30">
        <f t="shared" si="7"/>
        <v>0.79173175049463707</v>
      </c>
    </row>
    <row r="74" spans="1:10" x14ac:dyDescent="0.25">
      <c r="A74" s="26">
        <v>30</v>
      </c>
      <c r="B74" s="27">
        <f>B73*(1+Supuestos!D7)</f>
        <v>745.56536967060276</v>
      </c>
      <c r="C74" s="27">
        <f>C73*(1-Supuestos!D9)+B74</f>
        <v>5400.2258982156291</v>
      </c>
      <c r="D74" s="27">
        <f>MAX(0,C74-Supuestos!D14)*Supuestos!D8</f>
        <v>624.0271077858755</v>
      </c>
      <c r="E74" s="28">
        <f>Supuestos!D12*(1-Supuestos!D13*Supuestos!D15)</f>
        <v>96.03</v>
      </c>
      <c r="F74" s="29">
        <f t="shared" si="4"/>
        <v>59925.323160677624</v>
      </c>
      <c r="G74" s="29">
        <f t="shared" si="5"/>
        <v>719103.87792813149</v>
      </c>
      <c r="H74" s="29">
        <f>D74*Supuestos!D10</f>
        <v>12480.54215571751</v>
      </c>
      <c r="I74" s="29">
        <f t="shared" si="6"/>
        <v>47444.78100496011</v>
      </c>
      <c r="J74" s="30">
        <f t="shared" si="7"/>
        <v>0.79173175049463707</v>
      </c>
    </row>
    <row r="75" spans="1:10" x14ac:dyDescent="0.25">
      <c r="A75" s="26">
        <v>31</v>
      </c>
      <c r="B75" s="27">
        <f>B74*(1+Supuestos!D7)</f>
        <v>820.12190663766307</v>
      </c>
      <c r="C75" s="27">
        <f>C74*(1-Supuestos!D9)+B75</f>
        <v>5950.3365099425109</v>
      </c>
      <c r="D75" s="27">
        <f>MAX(0,C75-Supuestos!D14)*Supuestos!D8</f>
        <v>690.04038119310133</v>
      </c>
      <c r="E75" s="28">
        <f>Supuestos!D12*(1-Supuestos!D13*Supuestos!D15)</f>
        <v>96.03</v>
      </c>
      <c r="F75" s="29">
        <f t="shared" si="4"/>
        <v>66264.577805973517</v>
      </c>
      <c r="G75" s="29">
        <f t="shared" si="5"/>
        <v>795174.93367168214</v>
      </c>
      <c r="H75" s="29">
        <f>D75*Supuestos!D10</f>
        <v>13800.807623862027</v>
      </c>
      <c r="I75" s="29">
        <f t="shared" si="6"/>
        <v>52463.77018211149</v>
      </c>
      <c r="J75" s="30">
        <f t="shared" si="7"/>
        <v>0.79173175049463707</v>
      </c>
    </row>
    <row r="76" spans="1:10" x14ac:dyDescent="0.25">
      <c r="A76" s="26">
        <v>32</v>
      </c>
      <c r="B76" s="27">
        <f>B75*(1+Supuestos!D7)</f>
        <v>902.13409730142951</v>
      </c>
      <c r="C76" s="27">
        <f>C75*(1-Supuestos!D9)+B76</f>
        <v>6554.9537817468145</v>
      </c>
      <c r="D76" s="27">
        <f>MAX(0,C76-Supuestos!D14)*Supuestos!D8</f>
        <v>762.59445380961768</v>
      </c>
      <c r="E76" s="28">
        <f>Supuestos!D12*(1-Supuestos!D13*Supuestos!D15)</f>
        <v>96.03</v>
      </c>
      <c r="F76" s="29">
        <f t="shared" si="4"/>
        <v>73231.945399337579</v>
      </c>
      <c r="G76" s="29">
        <f t="shared" si="5"/>
        <v>878783.34479205101</v>
      </c>
      <c r="H76" s="29">
        <f>D76*Supuestos!D10</f>
        <v>15251.889076192354</v>
      </c>
      <c r="I76" s="29">
        <f t="shared" si="6"/>
        <v>57980.056323145225</v>
      </c>
      <c r="J76" s="30">
        <f t="shared" si="7"/>
        <v>0.79173175049463707</v>
      </c>
    </row>
    <row r="77" spans="1:10" x14ac:dyDescent="0.25">
      <c r="A77" s="26">
        <v>33</v>
      </c>
      <c r="B77" s="27">
        <f>B76*(1+Supuestos!D7)</f>
        <v>992.34750703157249</v>
      </c>
      <c r="C77" s="27">
        <f>C76*(1-Supuestos!D9)+B77</f>
        <v>7219.5535996910457</v>
      </c>
      <c r="D77" s="27">
        <f>MAX(0,C77-Supuestos!D14)*Supuestos!D8</f>
        <v>842.34643196292541</v>
      </c>
      <c r="E77" s="28">
        <f>Supuestos!D12*(1-Supuestos!D13*Supuestos!D15)</f>
        <v>96.03</v>
      </c>
      <c r="F77" s="29">
        <f t="shared" si="4"/>
        <v>80890.527861399722</v>
      </c>
      <c r="G77" s="29">
        <f t="shared" si="5"/>
        <v>970686.33433679666</v>
      </c>
      <c r="H77" s="29">
        <f>D77*Supuestos!D10</f>
        <v>16846.928639258509</v>
      </c>
      <c r="I77" s="29">
        <f t="shared" si="6"/>
        <v>64043.599222141216</v>
      </c>
      <c r="J77" s="30">
        <f t="shared" si="7"/>
        <v>0.79173175049463707</v>
      </c>
    </row>
    <row r="78" spans="1:10" x14ac:dyDescent="0.25">
      <c r="A78" s="26">
        <v>34</v>
      </c>
      <c r="B78" s="27">
        <f>B77*(1+Supuestos!D7)</f>
        <v>1091.5822577347299</v>
      </c>
      <c r="C78" s="27">
        <f>C77*(1-Supuestos!D9)+B78</f>
        <v>7950.1581774412234</v>
      </c>
      <c r="D78" s="27">
        <f>MAX(0,C78-Supuestos!D14)*Supuestos!D8</f>
        <v>930.01898129294682</v>
      </c>
      <c r="E78" s="28">
        <f>Supuestos!D12*(1-Supuestos!D13*Supuestos!D15)</f>
        <v>96.03</v>
      </c>
      <c r="F78" s="29">
        <f t="shared" si="4"/>
        <v>89309.722773561691</v>
      </c>
      <c r="G78" s="29">
        <f t="shared" si="5"/>
        <v>1071716.6732827402</v>
      </c>
      <c r="H78" s="29">
        <f>D78*Supuestos!D10</f>
        <v>18600.379625858935</v>
      </c>
      <c r="I78" s="29">
        <f t="shared" si="6"/>
        <v>70709.343147702748</v>
      </c>
      <c r="J78" s="30">
        <f t="shared" si="7"/>
        <v>0.79173175049463707</v>
      </c>
    </row>
    <row r="79" spans="1:10" x14ac:dyDescent="0.25">
      <c r="A79" s="26">
        <v>35</v>
      </c>
      <c r="B79" s="27">
        <f>B78*(1+Supuestos!D7)</f>
        <v>1200.7404835082029</v>
      </c>
      <c r="C79" s="27">
        <f>C78*(1-Supuestos!D9)+B79</f>
        <v>8753.3907520773646</v>
      </c>
      <c r="D79" s="27">
        <f>MAX(0,C79-Supuestos!D14)*Supuestos!D8</f>
        <v>1026.4068902492836</v>
      </c>
      <c r="E79" s="28">
        <f>Supuestos!D12*(1-Supuestos!D13*Supuestos!D15)</f>
        <v>96.03</v>
      </c>
      <c r="F79" s="29">
        <f t="shared" si="4"/>
        <v>98565.853670638709</v>
      </c>
      <c r="G79" s="29">
        <f t="shared" si="5"/>
        <v>1182790.2440476646</v>
      </c>
      <c r="H79" s="29">
        <f>D79*Supuestos!D10</f>
        <v>20528.137804985672</v>
      </c>
      <c r="I79" s="29">
        <f t="shared" si="6"/>
        <v>78037.715865653037</v>
      </c>
      <c r="J79" s="30">
        <f t="shared" si="7"/>
        <v>0.79173175049463707</v>
      </c>
    </row>
    <row r="80" spans="1:10" x14ac:dyDescent="0.25">
      <c r="A80" s="26">
        <v>36</v>
      </c>
      <c r="B80" s="27">
        <f>B79*(1+Supuestos!D7)</f>
        <v>1320.8145318590234</v>
      </c>
      <c r="C80" s="27">
        <f>C79*(1-Supuestos!D9)+B80</f>
        <v>9636.5357463325199</v>
      </c>
      <c r="D80" s="27">
        <f>MAX(0,C80-Supuestos!D14)*Supuestos!D8</f>
        <v>1132.3842895599023</v>
      </c>
      <c r="E80" s="28">
        <f>Supuestos!D12*(1-Supuestos!D13*Supuestos!D15)</f>
        <v>96.03</v>
      </c>
      <c r="F80" s="29">
        <f t="shared" si="4"/>
        <v>108742.86332643742</v>
      </c>
      <c r="G80" s="29">
        <f t="shared" si="5"/>
        <v>1304914.3599172491</v>
      </c>
      <c r="H80" s="29">
        <f>D80*Supuestos!D10</f>
        <v>22647.685791198048</v>
      </c>
      <c r="I80" s="29">
        <f t="shared" si="6"/>
        <v>86095.177535239374</v>
      </c>
      <c r="J80" s="30">
        <f t="shared" si="7"/>
        <v>0.79173175049463707</v>
      </c>
    </row>
    <row r="82" spans="1:10" ht="15.75" x14ac:dyDescent="0.25">
      <c r="A82" s="33" t="s">
        <v>60</v>
      </c>
      <c r="B82" s="34"/>
      <c r="C82" s="34"/>
      <c r="D82" s="34"/>
      <c r="E82" s="34"/>
      <c r="F82" s="34"/>
      <c r="G82" s="34"/>
      <c r="H82" s="34"/>
      <c r="I82" s="34"/>
      <c r="J82" s="34"/>
    </row>
    <row r="83" spans="1:10" ht="30" x14ac:dyDescent="0.25">
      <c r="A83" s="18" t="s">
        <v>49</v>
      </c>
      <c r="B83" s="18" t="s">
        <v>50</v>
      </c>
      <c r="C83" s="18" t="s">
        <v>51</v>
      </c>
      <c r="D83" s="18" t="s">
        <v>52</v>
      </c>
      <c r="E83" s="18" t="s">
        <v>53</v>
      </c>
      <c r="F83" s="18" t="s">
        <v>54</v>
      </c>
      <c r="G83" s="18" t="s">
        <v>55</v>
      </c>
      <c r="H83" s="18" t="s">
        <v>56</v>
      </c>
      <c r="I83" s="18" t="s">
        <v>57</v>
      </c>
      <c r="J83" s="18" t="s">
        <v>58</v>
      </c>
    </row>
    <row r="84" spans="1:10" x14ac:dyDescent="0.25">
      <c r="A84" s="26">
        <v>1</v>
      </c>
      <c r="B84" s="27">
        <f>Supuestos!E6</f>
        <v>87</v>
      </c>
      <c r="C84" s="27">
        <f>B84</f>
        <v>87</v>
      </c>
      <c r="D84" s="27">
        <f>MAX(0,C84-Supuestos!E14)*Supuestos!E8</f>
        <v>0</v>
      </c>
      <c r="E84" s="28">
        <f>Supuestos!E12*(1-Supuestos!E13*Supuestos!E15)</f>
        <v>94.545000000000002</v>
      </c>
      <c r="F84" s="29">
        <f t="shared" ref="F84:F119" si="8">D84*E84</f>
        <v>0</v>
      </c>
      <c r="G84" s="29">
        <f t="shared" ref="G84:G119" si="9">F84*12</f>
        <v>0</v>
      </c>
      <c r="H84" s="29">
        <f>D84*Supuestos!E10</f>
        <v>0</v>
      </c>
      <c r="I84" s="29">
        <f t="shared" ref="I84:I119" si="10">F84-H84</f>
        <v>0</v>
      </c>
      <c r="J84" s="30">
        <f t="shared" ref="J84:J119" si="11">IF(F84=0,0,I84/F84)</f>
        <v>0</v>
      </c>
    </row>
    <row r="85" spans="1:10" x14ac:dyDescent="0.25">
      <c r="A85" s="26">
        <v>2</v>
      </c>
      <c r="B85" s="27">
        <f>B84*(1+Supuestos!E7)</f>
        <v>97.004999999999995</v>
      </c>
      <c r="C85" s="27">
        <f>C84*(1-Supuestos!E9)+B85</f>
        <v>180.95999999999998</v>
      </c>
      <c r="D85" s="27">
        <f>MAX(0,C85-Supuestos!E14)*Supuestos!E8</f>
        <v>0</v>
      </c>
      <c r="E85" s="28">
        <f>Supuestos!E12*(1-Supuestos!E13*Supuestos!E15)</f>
        <v>94.545000000000002</v>
      </c>
      <c r="F85" s="29">
        <f t="shared" si="8"/>
        <v>0</v>
      </c>
      <c r="G85" s="29">
        <f t="shared" si="9"/>
        <v>0</v>
      </c>
      <c r="H85" s="29">
        <f>D85*Supuestos!E10</f>
        <v>0</v>
      </c>
      <c r="I85" s="29">
        <f t="shared" si="10"/>
        <v>0</v>
      </c>
      <c r="J85" s="30">
        <f t="shared" si="11"/>
        <v>0</v>
      </c>
    </row>
    <row r="86" spans="1:10" x14ac:dyDescent="0.25">
      <c r="A86" s="26">
        <v>3</v>
      </c>
      <c r="B86" s="27">
        <f>B85*(1+Supuestos!E7)</f>
        <v>108.16057499999999</v>
      </c>
      <c r="C86" s="27">
        <f>C85*(1-Supuestos!E9)+B86</f>
        <v>282.78697499999998</v>
      </c>
      <c r="D86" s="27">
        <f>MAX(0,C86-Supuestos!E14)*Supuestos!E8</f>
        <v>16.557394999999996</v>
      </c>
      <c r="E86" s="28">
        <f>Supuestos!E12*(1-Supuestos!E13*Supuestos!E15)</f>
        <v>94.545000000000002</v>
      </c>
      <c r="F86" s="29">
        <f t="shared" si="8"/>
        <v>1565.4189102749997</v>
      </c>
      <c r="G86" s="29">
        <f t="shared" si="9"/>
        <v>18785.026923299996</v>
      </c>
      <c r="H86" s="29">
        <f>D86*Supuestos!E10</f>
        <v>248.36092499999995</v>
      </c>
      <c r="I86" s="29">
        <f t="shared" si="10"/>
        <v>1317.0579852749997</v>
      </c>
      <c r="J86" s="30">
        <f t="shared" si="11"/>
        <v>0.84134539108361095</v>
      </c>
    </row>
    <row r="87" spans="1:10" x14ac:dyDescent="0.25">
      <c r="A87" s="26">
        <v>4</v>
      </c>
      <c r="B87" s="27">
        <f>B86*(1+Supuestos!E7)</f>
        <v>120.599041125</v>
      </c>
      <c r="C87" s="27">
        <f>C86*(1-Supuestos!E9)+B87</f>
        <v>393.48847199999994</v>
      </c>
      <c r="D87" s="27">
        <f>MAX(0,C87-Supuestos!E14)*Supuestos!E8</f>
        <v>38.697694399999989</v>
      </c>
      <c r="E87" s="28">
        <f>Supuestos!E12*(1-Supuestos!E13*Supuestos!E15)</f>
        <v>94.545000000000002</v>
      </c>
      <c r="F87" s="29">
        <f t="shared" si="8"/>
        <v>3658.6735170479992</v>
      </c>
      <c r="G87" s="29">
        <f t="shared" si="9"/>
        <v>43904.082204575992</v>
      </c>
      <c r="H87" s="29">
        <f>D87*Supuestos!E10</f>
        <v>580.46541599999978</v>
      </c>
      <c r="I87" s="29">
        <f t="shared" si="10"/>
        <v>3078.2081010479997</v>
      </c>
      <c r="J87" s="30">
        <f t="shared" si="11"/>
        <v>0.84134539108361106</v>
      </c>
    </row>
    <row r="88" spans="1:10" x14ac:dyDescent="0.25">
      <c r="A88" s="26">
        <v>5</v>
      </c>
      <c r="B88" s="27">
        <f>B87*(1+Supuestos!E7)</f>
        <v>134.467930854375</v>
      </c>
      <c r="C88" s="27">
        <f>C87*(1-Supuestos!E9)+B88</f>
        <v>514.18430633437492</v>
      </c>
      <c r="D88" s="27">
        <f>MAX(0,C88-Supuestos!E14)*Supuestos!E8</f>
        <v>62.83686126687499</v>
      </c>
      <c r="E88" s="28">
        <f>Supuestos!E12*(1-Supuestos!E13*Supuestos!E15)</f>
        <v>94.545000000000002</v>
      </c>
      <c r="F88" s="29">
        <f t="shared" si="8"/>
        <v>5940.9110484766961</v>
      </c>
      <c r="G88" s="29">
        <f t="shared" si="9"/>
        <v>71290.93258172035</v>
      </c>
      <c r="H88" s="29">
        <f>D88*Supuestos!E10</f>
        <v>942.55291900312488</v>
      </c>
      <c r="I88" s="29">
        <f t="shared" si="10"/>
        <v>4998.3581294735714</v>
      </c>
      <c r="J88" s="30">
        <f t="shared" si="11"/>
        <v>0.84134539108361095</v>
      </c>
    </row>
    <row r="89" spans="1:10" x14ac:dyDescent="0.25">
      <c r="A89" s="26">
        <v>6</v>
      </c>
      <c r="B89" s="27">
        <f>B88*(1+Supuestos!E7)</f>
        <v>149.93174290262812</v>
      </c>
      <c r="C89" s="27">
        <f>C88*(1-Supuestos!E9)+B89</f>
        <v>646.11959851529991</v>
      </c>
      <c r="D89" s="27">
        <f>MAX(0,C89-Supuestos!E14)*Supuestos!E8</f>
        <v>89.223919703059991</v>
      </c>
      <c r="E89" s="28">
        <f>Supuestos!E12*(1-Supuestos!E13*Supuestos!E15)</f>
        <v>94.545000000000002</v>
      </c>
      <c r="F89" s="29">
        <f t="shared" si="8"/>
        <v>8435.6754883258072</v>
      </c>
      <c r="G89" s="29">
        <f t="shared" si="9"/>
        <v>101228.10585990969</v>
      </c>
      <c r="H89" s="29">
        <f>D89*Supuestos!E10</f>
        <v>1338.3587955459</v>
      </c>
      <c r="I89" s="29">
        <f t="shared" si="10"/>
        <v>7097.3166927799075</v>
      </c>
      <c r="J89" s="30">
        <f t="shared" si="11"/>
        <v>0.84134539108361095</v>
      </c>
    </row>
    <row r="90" spans="1:10" x14ac:dyDescent="0.25">
      <c r="A90" s="26">
        <v>7</v>
      </c>
      <c r="B90" s="27">
        <f>B89*(1+Supuestos!E7)</f>
        <v>167.17389333643035</v>
      </c>
      <c r="C90" s="27">
        <f>C89*(1-Supuestos!E9)+B90</f>
        <v>790.67930590369474</v>
      </c>
      <c r="D90" s="27">
        <f>MAX(0,C90-Supuestos!E14)*Supuestos!E8</f>
        <v>118.13586118073896</v>
      </c>
      <c r="E90" s="28">
        <f>Supuestos!E12*(1-Supuestos!E13*Supuestos!E15)</f>
        <v>94.545000000000002</v>
      </c>
      <c r="F90" s="29">
        <f t="shared" si="8"/>
        <v>11169.154995332965</v>
      </c>
      <c r="G90" s="29">
        <f t="shared" si="9"/>
        <v>134029.85994399557</v>
      </c>
      <c r="H90" s="29">
        <f>D90*Supuestos!E10</f>
        <v>1772.0379177110844</v>
      </c>
      <c r="I90" s="29">
        <f t="shared" si="10"/>
        <v>9397.1170776218805</v>
      </c>
      <c r="J90" s="30">
        <f t="shared" si="11"/>
        <v>0.84134539108361095</v>
      </c>
    </row>
    <row r="91" spans="1:10" x14ac:dyDescent="0.25">
      <c r="A91" s="26">
        <v>8</v>
      </c>
      <c r="B91" s="27">
        <f>B90*(1+Supuestos!E7)</f>
        <v>186.39889107011984</v>
      </c>
      <c r="C91" s="27">
        <f>C90*(1-Supuestos!E9)+B91</f>
        <v>949.40442126718517</v>
      </c>
      <c r="D91" s="27">
        <f>MAX(0,C91-Supuestos!E14)*Supuestos!E8</f>
        <v>149.88088425343705</v>
      </c>
      <c r="E91" s="28">
        <f>Supuestos!E12*(1-Supuestos!E13*Supuestos!E15)</f>
        <v>94.545000000000002</v>
      </c>
      <c r="F91" s="29">
        <f t="shared" si="8"/>
        <v>14170.488201741206</v>
      </c>
      <c r="G91" s="29">
        <f t="shared" si="9"/>
        <v>170045.85842089448</v>
      </c>
      <c r="H91" s="29">
        <f>D91*Supuestos!E10</f>
        <v>2248.2132638015555</v>
      </c>
      <c r="I91" s="29">
        <f t="shared" si="10"/>
        <v>11922.27493793965</v>
      </c>
      <c r="J91" s="30">
        <f t="shared" si="11"/>
        <v>0.84134539108361095</v>
      </c>
    </row>
    <row r="92" spans="1:10" x14ac:dyDescent="0.25">
      <c r="A92" s="26">
        <v>9</v>
      </c>
      <c r="B92" s="27">
        <f>B91*(1+Supuestos!E7)</f>
        <v>207.83476354318361</v>
      </c>
      <c r="C92" s="27">
        <f>C91*(1-Supuestos!E9)+B92</f>
        <v>1124.0100300660174</v>
      </c>
      <c r="D92" s="27">
        <f>MAX(0,C92-Supuestos!E14)*Supuestos!E8</f>
        <v>184.80200601320348</v>
      </c>
      <c r="E92" s="28">
        <f>Supuestos!E12*(1-Supuestos!E13*Supuestos!E15)</f>
        <v>94.545000000000002</v>
      </c>
      <c r="F92" s="29">
        <f t="shared" si="8"/>
        <v>17472.105658518325</v>
      </c>
      <c r="G92" s="29">
        <f t="shared" si="9"/>
        <v>209665.2679022199</v>
      </c>
      <c r="H92" s="29">
        <f>D92*Supuestos!E10</f>
        <v>2772.0300901980522</v>
      </c>
      <c r="I92" s="29">
        <f t="shared" si="10"/>
        <v>14700.075568320273</v>
      </c>
      <c r="J92" s="30">
        <f t="shared" si="11"/>
        <v>0.84134539108361106</v>
      </c>
    </row>
    <row r="93" spans="1:10" x14ac:dyDescent="0.25">
      <c r="A93" s="26">
        <v>10</v>
      </c>
      <c r="B93" s="27">
        <f>B92*(1+Supuestos!E7)</f>
        <v>231.73576135064974</v>
      </c>
      <c r="C93" s="27">
        <f>C92*(1-Supuestos!E9)+B93</f>
        <v>1316.4054403643565</v>
      </c>
      <c r="D93" s="27">
        <f>MAX(0,C93-Supuestos!E14)*Supuestos!E8</f>
        <v>223.28108807287131</v>
      </c>
      <c r="E93" s="28">
        <f>Supuestos!E12*(1-Supuestos!E13*Supuestos!E15)</f>
        <v>94.545000000000002</v>
      </c>
      <c r="F93" s="29">
        <f t="shared" si="8"/>
        <v>21110.110471849617</v>
      </c>
      <c r="G93" s="29">
        <f t="shared" si="9"/>
        <v>253321.32566219539</v>
      </c>
      <c r="H93" s="29">
        <f>D93*Supuestos!E10</f>
        <v>3349.2163210930698</v>
      </c>
      <c r="I93" s="29">
        <f t="shared" si="10"/>
        <v>17760.894150756547</v>
      </c>
      <c r="J93" s="30">
        <f t="shared" si="11"/>
        <v>0.84134539108361095</v>
      </c>
    </row>
    <row r="94" spans="1:10" x14ac:dyDescent="0.25">
      <c r="A94" s="26">
        <v>11</v>
      </c>
      <c r="B94" s="27">
        <f>B93*(1+Supuestos!E7)</f>
        <v>258.38537390597446</v>
      </c>
      <c r="C94" s="27">
        <f>C93*(1-Supuestos!E9)+B94</f>
        <v>1528.7166238575783</v>
      </c>
      <c r="D94" s="27">
        <f>MAX(0,C94-Supuestos!E14)*Supuestos!E8</f>
        <v>265.74332477151569</v>
      </c>
      <c r="E94" s="28">
        <f>Supuestos!E12*(1-Supuestos!E13*Supuestos!E15)</f>
        <v>94.545000000000002</v>
      </c>
      <c r="F94" s="29">
        <f t="shared" si="8"/>
        <v>25124.702640522952</v>
      </c>
      <c r="G94" s="29">
        <f t="shared" si="9"/>
        <v>301496.43168627541</v>
      </c>
      <c r="H94" s="29">
        <f>D94*Supuestos!E10</f>
        <v>3986.1498715727353</v>
      </c>
      <c r="I94" s="29">
        <f t="shared" si="10"/>
        <v>21138.552768950216</v>
      </c>
      <c r="J94" s="30">
        <f t="shared" si="11"/>
        <v>0.84134539108361095</v>
      </c>
    </row>
    <row r="95" spans="1:10" x14ac:dyDescent="0.25">
      <c r="A95" s="26">
        <v>12</v>
      </c>
      <c r="B95" s="27">
        <f>B94*(1+Supuestos!E7)</f>
        <v>288.09969190516154</v>
      </c>
      <c r="C95" s="27">
        <f>C94*(1-Supuestos!E9)+B95</f>
        <v>1763.3112339277245</v>
      </c>
      <c r="D95" s="27">
        <f>MAX(0,C95-Supuestos!E14)*Supuestos!E8</f>
        <v>312.66224678554494</v>
      </c>
      <c r="E95" s="28">
        <f>Supuestos!E12*(1-Supuestos!E13*Supuestos!E15)</f>
        <v>94.545000000000002</v>
      </c>
      <c r="F95" s="29">
        <f t="shared" si="8"/>
        <v>29560.652122339347</v>
      </c>
      <c r="G95" s="29">
        <f t="shared" si="9"/>
        <v>354727.82546807214</v>
      </c>
      <c r="H95" s="29">
        <f>D95*Supuestos!E10</f>
        <v>4689.933701783174</v>
      </c>
      <c r="I95" s="29">
        <f t="shared" si="10"/>
        <v>24870.718420556172</v>
      </c>
      <c r="J95" s="30">
        <f t="shared" si="11"/>
        <v>0.84134539108361095</v>
      </c>
    </row>
    <row r="96" spans="1:10" x14ac:dyDescent="0.25">
      <c r="A96" s="26">
        <v>13</v>
      </c>
      <c r="B96" s="27">
        <f>B95*(1+Supuestos!E7)</f>
        <v>321.2311564742551</v>
      </c>
      <c r="C96" s="27">
        <f>C95*(1-Supuestos!E9)+B96</f>
        <v>2022.8264972145093</v>
      </c>
      <c r="D96" s="27">
        <f>MAX(0,C96-Supuestos!E14)*Supuestos!E8</f>
        <v>364.5652994429019</v>
      </c>
      <c r="E96" s="28">
        <f>Supuestos!E12*(1-Supuestos!E13*Supuestos!E15)</f>
        <v>94.545000000000002</v>
      </c>
      <c r="F96" s="29">
        <f t="shared" si="8"/>
        <v>34467.826235829161</v>
      </c>
      <c r="G96" s="29">
        <f t="shared" si="9"/>
        <v>413613.91482994996</v>
      </c>
      <c r="H96" s="29">
        <f>D96*Supuestos!E10</f>
        <v>5468.4794916435285</v>
      </c>
      <c r="I96" s="29">
        <f t="shared" si="10"/>
        <v>28999.346744185634</v>
      </c>
      <c r="J96" s="30">
        <f t="shared" si="11"/>
        <v>0.84134539108361106</v>
      </c>
    </row>
    <row r="97" spans="1:10" x14ac:dyDescent="0.25">
      <c r="A97" s="26">
        <v>14</v>
      </c>
      <c r="B97" s="27">
        <f>B96*(1+Supuestos!E7)</f>
        <v>358.17273946879442</v>
      </c>
      <c r="C97" s="27">
        <f>C96*(1-Supuestos!E9)+B97</f>
        <v>2310.2003092807959</v>
      </c>
      <c r="D97" s="27">
        <f>MAX(0,C97-Supuestos!E14)*Supuestos!E8</f>
        <v>422.04006185615918</v>
      </c>
      <c r="E97" s="28">
        <f>Supuestos!E12*(1-Supuestos!E13*Supuestos!E15)</f>
        <v>94.545000000000002</v>
      </c>
      <c r="F97" s="29">
        <f t="shared" si="8"/>
        <v>39901.777648190568</v>
      </c>
      <c r="G97" s="29">
        <f t="shared" si="9"/>
        <v>478821.33177828684</v>
      </c>
      <c r="H97" s="29">
        <f>D97*Supuestos!E10</f>
        <v>6330.600927842388</v>
      </c>
      <c r="I97" s="29">
        <f t="shared" si="10"/>
        <v>33571.17672034818</v>
      </c>
      <c r="J97" s="30">
        <f t="shared" si="11"/>
        <v>0.84134539108361095</v>
      </c>
    </row>
    <row r="98" spans="1:10" x14ac:dyDescent="0.25">
      <c r="A98" s="26">
        <v>15</v>
      </c>
      <c r="B98" s="27">
        <f>B97*(1+Supuestos!E7)</f>
        <v>399.36260450770578</v>
      </c>
      <c r="C98" s="27">
        <f>C97*(1-Supuestos!E9)+B98</f>
        <v>2628.7059029636739</v>
      </c>
      <c r="D98" s="27">
        <f>MAX(0,C98-Supuestos!E14)*Supuestos!E8</f>
        <v>485.74118059273479</v>
      </c>
      <c r="E98" s="28">
        <f>Supuestos!E12*(1-Supuestos!E13*Supuestos!E15)</f>
        <v>94.545000000000002</v>
      </c>
      <c r="F98" s="29">
        <f t="shared" si="8"/>
        <v>45924.399919140109</v>
      </c>
      <c r="G98" s="29">
        <f t="shared" si="9"/>
        <v>551092.79902968137</v>
      </c>
      <c r="H98" s="29">
        <f>D98*Supuestos!E10</f>
        <v>7286.1177088910217</v>
      </c>
      <c r="I98" s="29">
        <f t="shared" si="10"/>
        <v>38638.28221024909</v>
      </c>
      <c r="J98" s="30">
        <f t="shared" si="11"/>
        <v>0.84134539108361106</v>
      </c>
    </row>
    <row r="99" spans="1:10" x14ac:dyDescent="0.25">
      <c r="A99" s="26">
        <v>16</v>
      </c>
      <c r="B99" s="27">
        <f>B98*(1+Supuestos!E7)</f>
        <v>445.28930402609194</v>
      </c>
      <c r="C99" s="27">
        <f>C98*(1-Supuestos!E9)+B99</f>
        <v>2981.9905003860372</v>
      </c>
      <c r="D99" s="27">
        <f>MAX(0,C99-Supuestos!E14)*Supuestos!E8</f>
        <v>556.39810007720746</v>
      </c>
      <c r="E99" s="28">
        <f>Supuestos!E12*(1-Supuestos!E13*Supuestos!E15)</f>
        <v>94.545000000000002</v>
      </c>
      <c r="F99" s="29">
        <f t="shared" si="8"/>
        <v>52604.658371799582</v>
      </c>
      <c r="G99" s="29">
        <f t="shared" si="9"/>
        <v>631255.90046159504</v>
      </c>
      <c r="H99" s="29">
        <f>D99*Supuestos!E10</f>
        <v>8345.971501158112</v>
      </c>
      <c r="I99" s="29">
        <f t="shared" si="10"/>
        <v>44258.686870641468</v>
      </c>
      <c r="J99" s="30">
        <f t="shared" si="11"/>
        <v>0.84134539108361095</v>
      </c>
    </row>
    <row r="100" spans="1:10" x14ac:dyDescent="0.25">
      <c r="A100" s="26">
        <v>17</v>
      </c>
      <c r="B100" s="27">
        <f>B99*(1+Supuestos!E7)</f>
        <v>496.49757398909253</v>
      </c>
      <c r="C100" s="27">
        <f>C99*(1-Supuestos!E9)+B100</f>
        <v>3374.118406861618</v>
      </c>
      <c r="D100" s="27">
        <f>MAX(0,C100-Supuestos!E14)*Supuestos!E8</f>
        <v>634.82368137232368</v>
      </c>
      <c r="E100" s="28">
        <f>Supuestos!E12*(1-Supuestos!E13*Supuestos!E15)</f>
        <v>94.545000000000002</v>
      </c>
      <c r="F100" s="29">
        <f t="shared" si="8"/>
        <v>60019.404955346341</v>
      </c>
      <c r="G100" s="29">
        <f t="shared" si="9"/>
        <v>720232.85946415609</v>
      </c>
      <c r="H100" s="29">
        <f>D100*Supuestos!E10</f>
        <v>9522.3552205848555</v>
      </c>
      <c r="I100" s="29">
        <f t="shared" si="10"/>
        <v>50497.049734761487</v>
      </c>
      <c r="J100" s="30">
        <f t="shared" si="11"/>
        <v>0.84134539108361095</v>
      </c>
    </row>
    <row r="101" spans="1:10" x14ac:dyDescent="0.25">
      <c r="A101" s="26">
        <v>18</v>
      </c>
      <c r="B101" s="27">
        <f>B100*(1+Supuestos!E7)</f>
        <v>553.59479499783822</v>
      </c>
      <c r="C101" s="27">
        <f>C100*(1-Supuestos!E9)+B101</f>
        <v>3809.6190576192994</v>
      </c>
      <c r="D101" s="27">
        <f>MAX(0,C101-Supuestos!E14)*Supuestos!E8</f>
        <v>721.92381152385997</v>
      </c>
      <c r="E101" s="28">
        <f>Supuestos!E12*(1-Supuestos!E13*Supuestos!E15)</f>
        <v>94.545000000000002</v>
      </c>
      <c r="F101" s="29">
        <f t="shared" si="8"/>
        <v>68254.286760523348</v>
      </c>
      <c r="G101" s="29">
        <f t="shared" si="9"/>
        <v>819051.44112628023</v>
      </c>
      <c r="H101" s="29">
        <f>D101*Supuestos!E10</f>
        <v>10828.857172857899</v>
      </c>
      <c r="I101" s="29">
        <f t="shared" si="10"/>
        <v>57425.429587665451</v>
      </c>
      <c r="J101" s="30">
        <f t="shared" si="11"/>
        <v>0.84134539108361106</v>
      </c>
    </row>
    <row r="102" spans="1:10" x14ac:dyDescent="0.25">
      <c r="A102" s="26">
        <v>19</v>
      </c>
      <c r="B102" s="27">
        <f>B101*(1+Supuestos!E7)</f>
        <v>617.25819642258966</v>
      </c>
      <c r="C102" s="27">
        <f>C101*(1-Supuestos!E9)+B102</f>
        <v>4293.5405870252134</v>
      </c>
      <c r="D102" s="27">
        <f>MAX(0,C102-Supuestos!E14)*Supuestos!E8</f>
        <v>818.70811740504269</v>
      </c>
      <c r="E102" s="28">
        <f>Supuestos!E12*(1-Supuestos!E13*Supuestos!E15)</f>
        <v>94.545000000000002</v>
      </c>
      <c r="F102" s="29">
        <f t="shared" si="8"/>
        <v>77404.758960059757</v>
      </c>
      <c r="G102" s="29">
        <f t="shared" si="9"/>
        <v>928857.10752071708</v>
      </c>
      <c r="H102" s="29">
        <f>D102*Supuestos!E10</f>
        <v>12280.621761075639</v>
      </c>
      <c r="I102" s="29">
        <f t="shared" si="10"/>
        <v>65124.137198984114</v>
      </c>
      <c r="J102" s="30">
        <f t="shared" si="11"/>
        <v>0.84134539108361095</v>
      </c>
    </row>
    <row r="103" spans="1:10" x14ac:dyDescent="0.25">
      <c r="A103" s="26">
        <v>20</v>
      </c>
      <c r="B103" s="27">
        <f>B102*(1+Supuestos!E7)</f>
        <v>688.24288901118746</v>
      </c>
      <c r="C103" s="27">
        <f>C102*(1-Supuestos!E9)+B103</f>
        <v>4831.5095554905183</v>
      </c>
      <c r="D103" s="27">
        <f>MAX(0,C103-Supuestos!E14)*Supuestos!E8</f>
        <v>926.30191109810369</v>
      </c>
      <c r="E103" s="28">
        <f>Supuestos!E12*(1-Supuestos!E13*Supuestos!E15)</f>
        <v>94.545000000000002</v>
      </c>
      <c r="F103" s="29">
        <f t="shared" si="8"/>
        <v>87577.214184770215</v>
      </c>
      <c r="G103" s="29">
        <f t="shared" si="9"/>
        <v>1050926.5702172425</v>
      </c>
      <c r="H103" s="29">
        <f>D103*Supuestos!E10</f>
        <v>13894.528666471555</v>
      </c>
      <c r="I103" s="29">
        <f t="shared" si="10"/>
        <v>73682.685518298662</v>
      </c>
      <c r="J103" s="30">
        <f t="shared" si="11"/>
        <v>0.84134539108361106</v>
      </c>
    </row>
    <row r="104" spans="1:10" x14ac:dyDescent="0.25">
      <c r="A104" s="26">
        <v>21</v>
      </c>
      <c r="B104" s="27">
        <f>B103*(1+Supuestos!E7)</f>
        <v>767.39082124747404</v>
      </c>
      <c r="C104" s="27">
        <f>C103*(1-Supuestos!E9)+B104</f>
        <v>5429.7975422958243</v>
      </c>
      <c r="D104" s="27">
        <f>MAX(0,C104-Supuestos!E14)*Supuestos!E8</f>
        <v>1045.9595084591649</v>
      </c>
      <c r="E104" s="28">
        <f>Supuestos!E12*(1-Supuestos!E13*Supuestos!E15)</f>
        <v>94.545000000000002</v>
      </c>
      <c r="F104" s="29">
        <f t="shared" si="8"/>
        <v>98890.241727271743</v>
      </c>
      <c r="G104" s="29">
        <f t="shared" si="9"/>
        <v>1186682.9007272609</v>
      </c>
      <c r="H104" s="29">
        <f>D104*Supuestos!E10</f>
        <v>15689.392626887473</v>
      </c>
      <c r="I104" s="29">
        <f t="shared" si="10"/>
        <v>83200.849100384265</v>
      </c>
      <c r="J104" s="30">
        <f t="shared" si="11"/>
        <v>0.84134539108361095</v>
      </c>
    </row>
    <row r="105" spans="1:10" x14ac:dyDescent="0.25">
      <c r="A105" s="26">
        <v>22</v>
      </c>
      <c r="B105" s="27">
        <f>B104*(1+Supuestos!E7)</f>
        <v>855.64076569093356</v>
      </c>
      <c r="C105" s="27">
        <f>C104*(1-Supuestos!E9)+B105</f>
        <v>6095.3953940064039</v>
      </c>
      <c r="D105" s="27">
        <f>MAX(0,C105-Supuestos!E14)*Supuestos!E8</f>
        <v>1179.0790788012807</v>
      </c>
      <c r="E105" s="28">
        <f>Supuestos!E12*(1-Supuestos!E13*Supuestos!E15)</f>
        <v>94.545000000000002</v>
      </c>
      <c r="F105" s="29">
        <f t="shared" si="8"/>
        <v>111476.03150526709</v>
      </c>
      <c r="G105" s="29">
        <f t="shared" si="9"/>
        <v>1337712.3780632052</v>
      </c>
      <c r="H105" s="29">
        <f>D105*Supuestos!E10</f>
        <v>17686.18618201921</v>
      </c>
      <c r="I105" s="29">
        <f t="shared" si="10"/>
        <v>93789.845323247879</v>
      </c>
      <c r="J105" s="30">
        <f t="shared" si="11"/>
        <v>0.84134539108361095</v>
      </c>
    </row>
    <row r="106" spans="1:10" x14ac:dyDescent="0.25">
      <c r="A106" s="26">
        <v>23</v>
      </c>
      <c r="B106" s="27">
        <f>B105*(1+Supuestos!E7)</f>
        <v>954.03945374539092</v>
      </c>
      <c r="C106" s="27">
        <f>C105*(1-Supuestos!E9)+B106</f>
        <v>6836.096008961571</v>
      </c>
      <c r="D106" s="27">
        <f>MAX(0,C106-Supuestos!E14)*Supuestos!E8</f>
        <v>1327.2192017923144</v>
      </c>
      <c r="E106" s="28">
        <f>Supuestos!E12*(1-Supuestos!E13*Supuestos!E15)</f>
        <v>94.545000000000002</v>
      </c>
      <c r="F106" s="29">
        <f t="shared" si="8"/>
        <v>125481.93943345436</v>
      </c>
      <c r="G106" s="29">
        <f t="shared" si="9"/>
        <v>1505783.2732014523</v>
      </c>
      <c r="H106" s="29">
        <f>D106*Supuestos!E10</f>
        <v>19908.288026884715</v>
      </c>
      <c r="I106" s="29">
        <f t="shared" si="10"/>
        <v>105573.65140656964</v>
      </c>
      <c r="J106" s="30">
        <f t="shared" si="11"/>
        <v>0.84134539108361095</v>
      </c>
    </row>
    <row r="107" spans="1:10" x14ac:dyDescent="0.25">
      <c r="A107" s="26">
        <v>24</v>
      </c>
      <c r="B107" s="27">
        <f>B106*(1+Supuestos!E7)</f>
        <v>1063.7539909261109</v>
      </c>
      <c r="C107" s="27">
        <f>C106*(1-Supuestos!E9)+B107</f>
        <v>7660.5866395740268</v>
      </c>
      <c r="D107" s="27">
        <f>MAX(0,C107-Supuestos!E14)*Supuestos!E8</f>
        <v>1492.1173279148054</v>
      </c>
      <c r="E107" s="28">
        <f>Supuestos!E12*(1-Supuestos!E13*Supuestos!E15)</f>
        <v>94.545000000000002</v>
      </c>
      <c r="F107" s="29">
        <f t="shared" si="8"/>
        <v>141072.23276770528</v>
      </c>
      <c r="G107" s="29">
        <f t="shared" si="9"/>
        <v>1692866.7932124634</v>
      </c>
      <c r="H107" s="29">
        <f>D107*Supuestos!E10</f>
        <v>22381.75991872208</v>
      </c>
      <c r="I107" s="29">
        <f t="shared" si="10"/>
        <v>118690.47284898321</v>
      </c>
      <c r="J107" s="30">
        <f t="shared" si="11"/>
        <v>0.84134539108361106</v>
      </c>
    </row>
    <row r="108" spans="1:10" x14ac:dyDescent="0.25">
      <c r="A108" s="26">
        <v>25</v>
      </c>
      <c r="B108" s="27">
        <f>B107*(1+Supuestos!E7)</f>
        <v>1186.0856998826137</v>
      </c>
      <c r="C108" s="27">
        <f>C107*(1-Supuestos!E9)+B108</f>
        <v>8578.5518070715498</v>
      </c>
      <c r="D108" s="27">
        <f>MAX(0,C108-Supuestos!E14)*Supuestos!E8</f>
        <v>1675.71036141431</v>
      </c>
      <c r="E108" s="28">
        <f>Supuestos!E12*(1-Supuestos!E13*Supuestos!E15)</f>
        <v>94.545000000000002</v>
      </c>
      <c r="F108" s="29">
        <f t="shared" si="8"/>
        <v>158430.03611991595</v>
      </c>
      <c r="G108" s="29">
        <f t="shared" si="9"/>
        <v>1901160.4334389914</v>
      </c>
      <c r="H108" s="29">
        <f>D108*Supuestos!E10</f>
        <v>25135.655421214651</v>
      </c>
      <c r="I108" s="29">
        <f t="shared" si="10"/>
        <v>133294.38069870131</v>
      </c>
      <c r="J108" s="30">
        <f t="shared" si="11"/>
        <v>0.84134539108361106</v>
      </c>
    </row>
    <row r="109" spans="1:10" x14ac:dyDescent="0.25">
      <c r="A109" s="26">
        <v>26</v>
      </c>
      <c r="B109" s="27">
        <f>B108*(1+Supuestos!E7)</f>
        <v>1322.4855553691143</v>
      </c>
      <c r="C109" s="27">
        <f>C108*(1-Supuestos!E9)+B109</f>
        <v>9600.7880491931592</v>
      </c>
      <c r="D109" s="27">
        <f>MAX(0,C109-Supuestos!E14)*Supuestos!E8</f>
        <v>1880.157609838632</v>
      </c>
      <c r="E109" s="28">
        <f>Supuestos!E12*(1-Supuestos!E13*Supuestos!E15)</f>
        <v>94.545000000000002</v>
      </c>
      <c r="F109" s="29">
        <f t="shared" si="8"/>
        <v>177759.50122219347</v>
      </c>
      <c r="G109" s="29">
        <f t="shared" si="9"/>
        <v>2133114.0146663217</v>
      </c>
      <c r="H109" s="29">
        <f>D109*Supuestos!E10</f>
        <v>28202.364147579479</v>
      </c>
      <c r="I109" s="29">
        <f t="shared" si="10"/>
        <v>149557.137074614</v>
      </c>
      <c r="J109" s="30">
        <f t="shared" si="11"/>
        <v>0.84134539108361106</v>
      </c>
    </row>
    <row r="110" spans="1:10" x14ac:dyDescent="0.25">
      <c r="A110" s="26">
        <v>27</v>
      </c>
      <c r="B110" s="27">
        <f>B109*(1+Supuestos!E7)</f>
        <v>1474.5713942365624</v>
      </c>
      <c r="C110" s="27">
        <f>C109*(1-Supuestos!E9)+B110</f>
        <v>10739.33186170796</v>
      </c>
      <c r="D110" s="27">
        <f>MAX(0,C110-Supuestos!E14)*Supuestos!E8</f>
        <v>2107.8663723415921</v>
      </c>
      <c r="E110" s="28">
        <f>Supuestos!E12*(1-Supuestos!E13*Supuestos!E15)</f>
        <v>94.545000000000002</v>
      </c>
      <c r="F110" s="29">
        <f t="shared" si="8"/>
        <v>199288.22617303583</v>
      </c>
      <c r="G110" s="29">
        <f t="shared" si="9"/>
        <v>2391458.7140764301</v>
      </c>
      <c r="H110" s="29">
        <f>D110*Supuestos!E10</f>
        <v>31617.995585123881</v>
      </c>
      <c r="I110" s="29">
        <f t="shared" si="10"/>
        <v>167670.23058791194</v>
      </c>
      <c r="J110" s="30">
        <f t="shared" si="11"/>
        <v>0.84134539108361095</v>
      </c>
    </row>
    <row r="111" spans="1:10" x14ac:dyDescent="0.25">
      <c r="A111" s="26">
        <v>28</v>
      </c>
      <c r="B111" s="27">
        <f>B110*(1+Supuestos!E7)</f>
        <v>1644.1471045737669</v>
      </c>
      <c r="C111" s="27">
        <f>C110*(1-Supuestos!E9)+B111</f>
        <v>12007.602351121948</v>
      </c>
      <c r="D111" s="27">
        <f>MAX(0,C111-Supuestos!E14)*Supuestos!E8</f>
        <v>2361.5204702243896</v>
      </c>
      <c r="E111" s="28">
        <f>Supuestos!E12*(1-Supuestos!E13*Supuestos!E15)</f>
        <v>94.545000000000002</v>
      </c>
      <c r="F111" s="29">
        <f t="shared" si="8"/>
        <v>223269.9528573649</v>
      </c>
      <c r="G111" s="29">
        <f t="shared" si="9"/>
        <v>2679239.4342883788</v>
      </c>
      <c r="H111" s="29">
        <f>D111*Supuestos!E10</f>
        <v>35422.807053365847</v>
      </c>
      <c r="I111" s="29">
        <f t="shared" si="10"/>
        <v>187847.14580399904</v>
      </c>
      <c r="J111" s="30">
        <f t="shared" si="11"/>
        <v>0.84134539108361084</v>
      </c>
    </row>
    <row r="112" spans="1:10" x14ac:dyDescent="0.25">
      <c r="A112" s="26">
        <v>29</v>
      </c>
      <c r="B112" s="27">
        <f>B111*(1+Supuestos!E7)</f>
        <v>1833.2240215997501</v>
      </c>
      <c r="C112" s="27">
        <f>C111*(1-Supuestos!E9)+B112</f>
        <v>13420.56029043243</v>
      </c>
      <c r="D112" s="27">
        <f>MAX(0,C112-Supuestos!E14)*Supuestos!E8</f>
        <v>2644.1120580864863</v>
      </c>
      <c r="E112" s="28">
        <f>Supuestos!E12*(1-Supuestos!E13*Supuestos!E15)</f>
        <v>94.545000000000002</v>
      </c>
      <c r="F112" s="29">
        <f t="shared" si="8"/>
        <v>249987.57453178684</v>
      </c>
      <c r="G112" s="29">
        <f t="shared" si="9"/>
        <v>2999850.8943814421</v>
      </c>
      <c r="H112" s="29">
        <f>D112*Supuestos!E10</f>
        <v>39661.680871297292</v>
      </c>
      <c r="I112" s="29">
        <f t="shared" si="10"/>
        <v>210325.89366048956</v>
      </c>
      <c r="J112" s="30">
        <f t="shared" si="11"/>
        <v>0.84134539108361106</v>
      </c>
    </row>
    <row r="113" spans="1:10" x14ac:dyDescent="0.25">
      <c r="A113" s="26">
        <v>30</v>
      </c>
      <c r="B113" s="27">
        <f>B112*(1+Supuestos!E7)</f>
        <v>2044.0447840837214</v>
      </c>
      <c r="C113" s="27">
        <f>C112*(1-Supuestos!E9)+B113</f>
        <v>14994.885464351017</v>
      </c>
      <c r="D113" s="27">
        <f>MAX(0,C113-Supuestos!E14)*Supuestos!E8</f>
        <v>2958.9770928702037</v>
      </c>
      <c r="E113" s="28">
        <f>Supuestos!E12*(1-Supuestos!E13*Supuestos!E15)</f>
        <v>94.545000000000002</v>
      </c>
      <c r="F113" s="29">
        <f t="shared" si="8"/>
        <v>279756.4892454134</v>
      </c>
      <c r="G113" s="29">
        <f t="shared" si="9"/>
        <v>3357077.870944961</v>
      </c>
      <c r="H113" s="29">
        <f>D113*Supuestos!E10</f>
        <v>44384.656393053054</v>
      </c>
      <c r="I113" s="29">
        <f t="shared" si="10"/>
        <v>235371.83285236033</v>
      </c>
      <c r="J113" s="30">
        <f t="shared" si="11"/>
        <v>0.84134539108361095</v>
      </c>
    </row>
    <row r="114" spans="1:10" x14ac:dyDescent="0.25">
      <c r="A114" s="26">
        <v>31</v>
      </c>
      <c r="B114" s="27">
        <f>B113*(1+Supuestos!E7)</f>
        <v>2279.1099342533494</v>
      </c>
      <c r="C114" s="27">
        <f>C113*(1-Supuestos!E9)+B114</f>
        <v>16749.174407352082</v>
      </c>
      <c r="D114" s="27">
        <f>MAX(0,C114-Supuestos!E14)*Supuestos!E8</f>
        <v>3309.8348814704168</v>
      </c>
      <c r="E114" s="28">
        <f>Supuestos!E12*(1-Supuestos!E13*Supuestos!E15)</f>
        <v>94.545000000000002</v>
      </c>
      <c r="F114" s="29">
        <f t="shared" si="8"/>
        <v>312928.33886862057</v>
      </c>
      <c r="G114" s="29">
        <f t="shared" si="9"/>
        <v>3755140.0664234469</v>
      </c>
      <c r="H114" s="29">
        <f>D114*Supuestos!E10</f>
        <v>49647.523222056254</v>
      </c>
      <c r="I114" s="29">
        <f t="shared" si="10"/>
        <v>263280.8156465643</v>
      </c>
      <c r="J114" s="30">
        <f t="shared" si="11"/>
        <v>0.84134539108361095</v>
      </c>
    </row>
    <row r="115" spans="1:10" x14ac:dyDescent="0.25">
      <c r="A115" s="26">
        <v>32</v>
      </c>
      <c r="B115" s="27">
        <f>B114*(1+Supuestos!E7)</f>
        <v>2541.2075766924845</v>
      </c>
      <c r="C115" s="27">
        <f>C114*(1-Supuestos!E9)+B115</f>
        <v>18704.160879787243</v>
      </c>
      <c r="D115" s="27">
        <f>MAX(0,C115-Supuestos!E14)*Supuestos!E8</f>
        <v>3700.8321759574487</v>
      </c>
      <c r="E115" s="28">
        <f>Supuestos!E12*(1-Supuestos!E13*Supuestos!E15)</f>
        <v>94.545000000000002</v>
      </c>
      <c r="F115" s="29">
        <f t="shared" si="8"/>
        <v>349895.17807589698</v>
      </c>
      <c r="G115" s="29">
        <f t="shared" si="9"/>
        <v>4198742.1369107636</v>
      </c>
      <c r="H115" s="29">
        <f>D115*Supuestos!E10</f>
        <v>55512.482639361733</v>
      </c>
      <c r="I115" s="29">
        <f t="shared" si="10"/>
        <v>294382.69543653523</v>
      </c>
      <c r="J115" s="30">
        <f t="shared" si="11"/>
        <v>0.84134539108361095</v>
      </c>
    </row>
    <row r="116" spans="1:10" x14ac:dyDescent="0.25">
      <c r="A116" s="26">
        <v>33</v>
      </c>
      <c r="B116" s="27">
        <f>B115*(1+Supuestos!E7)</f>
        <v>2833.4464480121201</v>
      </c>
      <c r="C116" s="27">
        <f>C115*(1-Supuestos!E9)+B116</f>
        <v>20882.961697006809</v>
      </c>
      <c r="D116" s="27">
        <f>MAX(0,C116-Supuestos!E14)*Supuestos!E8</f>
        <v>4136.5923394013616</v>
      </c>
      <c r="E116" s="28">
        <f>Supuestos!E12*(1-Supuestos!E13*Supuestos!E15)</f>
        <v>94.545000000000002</v>
      </c>
      <c r="F116" s="29">
        <f t="shared" si="8"/>
        <v>391094.12272870174</v>
      </c>
      <c r="G116" s="29">
        <f t="shared" si="9"/>
        <v>4693129.4727444211</v>
      </c>
      <c r="H116" s="29">
        <f>D116*Supuestos!E10</f>
        <v>62048.885091020427</v>
      </c>
      <c r="I116" s="29">
        <f t="shared" si="10"/>
        <v>329045.2376376813</v>
      </c>
      <c r="J116" s="30">
        <f t="shared" si="11"/>
        <v>0.84134539108361095</v>
      </c>
    </row>
    <row r="117" spans="1:10" x14ac:dyDescent="0.25">
      <c r="A117" s="26">
        <v>34</v>
      </c>
      <c r="B117" s="27">
        <f>B116*(1+Supuestos!E7)</f>
        <v>3159.2927895335138</v>
      </c>
      <c r="C117" s="27">
        <f>C116*(1-Supuestos!E9)+B117</f>
        <v>23311.350827145081</v>
      </c>
      <c r="D117" s="27">
        <f>MAX(0,C117-Supuestos!E14)*Supuestos!E8</f>
        <v>4622.2701654290167</v>
      </c>
      <c r="E117" s="28">
        <f>Supuestos!E12*(1-Supuestos!E13*Supuestos!E15)</f>
        <v>94.545000000000002</v>
      </c>
      <c r="F117" s="29">
        <f t="shared" si="8"/>
        <v>437012.53279048641</v>
      </c>
      <c r="G117" s="29">
        <f t="shared" si="9"/>
        <v>5244150.3934858367</v>
      </c>
      <c r="H117" s="29">
        <f>D117*Supuestos!E10</f>
        <v>69334.052481435254</v>
      </c>
      <c r="I117" s="29">
        <f t="shared" si="10"/>
        <v>367678.48030905117</v>
      </c>
      <c r="J117" s="30">
        <f t="shared" si="11"/>
        <v>0.84134539108361106</v>
      </c>
    </row>
    <row r="118" spans="1:10" x14ac:dyDescent="0.25">
      <c r="A118" s="26">
        <v>35</v>
      </c>
      <c r="B118" s="27">
        <f>B117*(1+Supuestos!E7)</f>
        <v>3522.6114603298679</v>
      </c>
      <c r="C118" s="27">
        <f>C117*(1-Supuestos!E9)+B118</f>
        <v>26018.065008524867</v>
      </c>
      <c r="D118" s="27">
        <f>MAX(0,C118-Supuestos!E14)*Supuestos!E8</f>
        <v>5163.6130017049736</v>
      </c>
      <c r="E118" s="28">
        <f>Supuestos!E12*(1-Supuestos!E13*Supuestos!E15)</f>
        <v>94.545000000000002</v>
      </c>
      <c r="F118" s="29">
        <f t="shared" si="8"/>
        <v>488193.79124619672</v>
      </c>
      <c r="G118" s="29">
        <f t="shared" si="9"/>
        <v>5858325.4949543606</v>
      </c>
      <c r="H118" s="29">
        <f>D118*Supuestos!E10</f>
        <v>77454.195025574605</v>
      </c>
      <c r="I118" s="29">
        <f t="shared" si="10"/>
        <v>410739.59622062213</v>
      </c>
      <c r="J118" s="30">
        <f t="shared" si="11"/>
        <v>0.84134539108361095</v>
      </c>
    </row>
    <row r="119" spans="1:10" x14ac:dyDescent="0.25">
      <c r="A119" s="26">
        <v>36</v>
      </c>
      <c r="B119" s="27">
        <f>B118*(1+Supuestos!E7)</f>
        <v>3927.7117782678029</v>
      </c>
      <c r="C119" s="27">
        <f>C118*(1-Supuestos!E9)+B119</f>
        <v>29035.144511494298</v>
      </c>
      <c r="D119" s="27">
        <f>MAX(0,C119-Supuestos!E14)*Supuestos!E8</f>
        <v>5767.02890229886</v>
      </c>
      <c r="E119" s="28">
        <f>Supuestos!E12*(1-Supuestos!E13*Supuestos!E15)</f>
        <v>94.545000000000002</v>
      </c>
      <c r="F119" s="29">
        <f t="shared" si="8"/>
        <v>545243.74756784574</v>
      </c>
      <c r="G119" s="29">
        <f t="shared" si="9"/>
        <v>6542924.9708141489</v>
      </c>
      <c r="H119" s="29">
        <f>D119*Supuestos!E10</f>
        <v>86505.433534482901</v>
      </c>
      <c r="I119" s="29">
        <f t="shared" si="10"/>
        <v>458738.31403336284</v>
      </c>
      <c r="J119" s="30">
        <f t="shared" si="11"/>
        <v>0.84134539108361095</v>
      </c>
    </row>
  </sheetData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24"/>
  <sheetViews>
    <sheetView showGridLines="0" workbookViewId="0"/>
  </sheetViews>
  <sheetFormatPr defaultRowHeight="15" x14ac:dyDescent="0.25"/>
  <cols>
    <col min="1" max="1" width="2" customWidth="1"/>
    <col min="2" max="2" width="34" customWidth="1"/>
    <col min="3" max="5" width="15" customWidth="1"/>
    <col min="6" max="6" width="3" customWidth="1"/>
    <col min="7" max="7" width="44" customWidth="1"/>
  </cols>
  <sheetData>
    <row r="2" spans="2:5" ht="18" x14ac:dyDescent="0.25">
      <c r="B2" s="17" t="s">
        <v>61</v>
      </c>
    </row>
    <row r="3" spans="2:5" ht="26.1" customHeight="1" x14ac:dyDescent="0.25">
      <c r="B3" s="47" t="s">
        <v>62</v>
      </c>
      <c r="C3" s="48"/>
      <c r="D3" s="48"/>
      <c r="E3" s="48"/>
    </row>
    <row r="5" spans="2:5" x14ac:dyDescent="0.25">
      <c r="B5" s="18" t="s">
        <v>63</v>
      </c>
      <c r="C5" s="18" t="s">
        <v>8</v>
      </c>
      <c r="D5" s="18" t="s">
        <v>9</v>
      </c>
      <c r="E5" s="18" t="s">
        <v>10</v>
      </c>
    </row>
    <row r="6" spans="2:5" x14ac:dyDescent="0.25">
      <c r="B6" s="7" t="s">
        <v>64</v>
      </c>
      <c r="C6" s="35">
        <f>Proyeccion!E41</f>
        <v>97.515000000000001</v>
      </c>
      <c r="D6" s="35">
        <f>Proyeccion!E80</f>
        <v>96.03</v>
      </c>
      <c r="E6" s="35">
        <f>Proyeccion!E119</f>
        <v>94.545000000000002</v>
      </c>
    </row>
    <row r="7" spans="2:5" x14ac:dyDescent="0.25">
      <c r="B7" s="7" t="s">
        <v>65</v>
      </c>
      <c r="C7" s="36">
        <f>Proyeccion!J41</f>
        <v>0.74362918525355071</v>
      </c>
      <c r="D7" s="36">
        <f>Proyeccion!J80</f>
        <v>0.79173175049463707</v>
      </c>
      <c r="E7" s="36">
        <f>Proyeccion!J119</f>
        <v>0.84134539108361095</v>
      </c>
    </row>
    <row r="8" spans="2:5" x14ac:dyDescent="0.25">
      <c r="B8" s="7" t="s">
        <v>66</v>
      </c>
      <c r="C8" s="36">
        <f>Supuestos!C9</f>
        <v>0.08</v>
      </c>
      <c r="D8" s="36">
        <f>Supuestos!D9</f>
        <v>0.05</v>
      </c>
      <c r="E8" s="36">
        <f>Supuestos!E9</f>
        <v>3.5000000000000003E-2</v>
      </c>
    </row>
    <row r="9" spans="2:5" x14ac:dyDescent="0.25">
      <c r="B9" s="7" t="s">
        <v>67</v>
      </c>
      <c r="C9" s="37">
        <f>C6*C7</f>
        <v>72.515000000000001</v>
      </c>
      <c r="D9" s="37">
        <f>D6*D7</f>
        <v>76.03</v>
      </c>
      <c r="E9" s="37">
        <f>E6*E7</f>
        <v>79.545000000000002</v>
      </c>
    </row>
    <row r="10" spans="2:5" x14ac:dyDescent="0.25">
      <c r="B10" s="7" t="s">
        <v>68</v>
      </c>
      <c r="C10" s="8">
        <f>Supuestos!C11</f>
        <v>350</v>
      </c>
      <c r="D10" s="8">
        <f>Supuestos!D11</f>
        <v>250</v>
      </c>
      <c r="E10" s="8">
        <f>Supuestos!E11</f>
        <v>180</v>
      </c>
    </row>
    <row r="11" spans="2:5" x14ac:dyDescent="0.25">
      <c r="B11" s="21" t="s">
        <v>69</v>
      </c>
      <c r="C11" s="38">
        <f>C9/C8</f>
        <v>906.4375</v>
      </c>
      <c r="D11" s="38">
        <f>D9/D8</f>
        <v>1520.6</v>
      </c>
      <c r="E11" s="38">
        <f>E9/E8</f>
        <v>2272.7142857142853</v>
      </c>
    </row>
    <row r="12" spans="2:5" x14ac:dyDescent="0.25">
      <c r="B12" s="21" t="s">
        <v>70</v>
      </c>
      <c r="C12" s="39">
        <f>C11/C10</f>
        <v>2.5898214285714287</v>
      </c>
      <c r="D12" s="39">
        <f>D11/D10</f>
        <v>6.0823999999999998</v>
      </c>
      <c r="E12" s="39">
        <f>E11/E10</f>
        <v>12.626190476190475</v>
      </c>
    </row>
    <row r="13" spans="2:5" x14ac:dyDescent="0.25">
      <c r="B13" s="21" t="s">
        <v>71</v>
      </c>
      <c r="C13" s="40">
        <f>C10/C9</f>
        <v>4.8265876025649863</v>
      </c>
      <c r="D13" s="40">
        <f>D10/D9</f>
        <v>3.2881757201104826</v>
      </c>
      <c r="E13" s="40">
        <f>E10/E9</f>
        <v>2.2628700735432772</v>
      </c>
    </row>
    <row r="15" spans="2:5" ht="26.1" customHeight="1" x14ac:dyDescent="0.25">
      <c r="B15" s="47" t="s">
        <v>72</v>
      </c>
      <c r="C15" s="48"/>
      <c r="D15" s="48"/>
      <c r="E15" s="48"/>
    </row>
    <row r="17" spans="2:5" x14ac:dyDescent="0.25">
      <c r="B17" s="41" t="s">
        <v>73</v>
      </c>
    </row>
    <row r="18" spans="2:5" x14ac:dyDescent="0.25">
      <c r="B18" s="6" t="s">
        <v>66</v>
      </c>
      <c r="C18" s="6" t="s">
        <v>69</v>
      </c>
    </row>
    <row r="19" spans="2:5" x14ac:dyDescent="0.25">
      <c r="B19" s="20">
        <v>0.12</v>
      </c>
      <c r="C19" s="42">
        <f>D9/B19</f>
        <v>633.58333333333337</v>
      </c>
      <c r="E19" s="47" t="s">
        <v>74</v>
      </c>
    </row>
    <row r="20" spans="2:5" x14ac:dyDescent="0.25">
      <c r="B20" s="20">
        <v>0.08</v>
      </c>
      <c r="C20" s="42">
        <f>D9/B20</f>
        <v>950.375</v>
      </c>
      <c r="E20" s="48"/>
    </row>
    <row r="21" spans="2:5" x14ac:dyDescent="0.25">
      <c r="B21" s="20">
        <v>0.06</v>
      </c>
      <c r="C21" s="42">
        <f>D9/B21</f>
        <v>1267.1666666666667</v>
      </c>
      <c r="E21" s="48"/>
    </row>
    <row r="22" spans="2:5" x14ac:dyDescent="0.25">
      <c r="B22" s="20">
        <v>0.05</v>
      </c>
      <c r="C22" s="42">
        <f>D9/B22</f>
        <v>1520.6</v>
      </c>
    </row>
    <row r="23" spans="2:5" x14ac:dyDescent="0.25">
      <c r="B23" s="20">
        <v>0.04</v>
      </c>
      <c r="C23" s="42">
        <f>D9/B23</f>
        <v>1900.75</v>
      </c>
    </row>
    <row r="24" spans="2:5" x14ac:dyDescent="0.25">
      <c r="B24" s="20">
        <v>3.5000000000000003E-2</v>
      </c>
      <c r="C24" s="42">
        <f>D9/B24</f>
        <v>2172.2857142857142</v>
      </c>
    </row>
  </sheetData>
  <mergeCells count="3">
    <mergeCell ref="B15:E15"/>
    <mergeCell ref="E19:E21"/>
    <mergeCell ref="B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14"/>
  <sheetViews>
    <sheetView showGridLines="0" workbookViewId="0"/>
  </sheetViews>
  <sheetFormatPr defaultRowHeight="15" x14ac:dyDescent="0.25"/>
  <cols>
    <col min="1" max="1" width="2" customWidth="1"/>
    <col min="2" max="2" width="30" customWidth="1"/>
    <col min="3" max="4" width="18" customWidth="1"/>
    <col min="5" max="5" width="3" customWidth="1"/>
    <col min="6" max="6" width="48" customWidth="1"/>
  </cols>
  <sheetData>
    <row r="2" spans="2:6" ht="18" x14ac:dyDescent="0.25">
      <c r="B2" s="17" t="s">
        <v>75</v>
      </c>
    </row>
    <row r="3" spans="2:6" ht="27.95" customHeight="1" x14ac:dyDescent="0.25">
      <c r="B3" s="47" t="s">
        <v>76</v>
      </c>
      <c r="C3" s="48"/>
      <c r="D3" s="48"/>
    </row>
    <row r="5" spans="2:6" x14ac:dyDescent="0.25">
      <c r="B5" s="18" t="s">
        <v>77</v>
      </c>
      <c r="C5" s="18" t="s">
        <v>78</v>
      </c>
      <c r="D5" s="18" t="s">
        <v>79</v>
      </c>
    </row>
    <row r="6" spans="2:6" ht="24" x14ac:dyDescent="0.25">
      <c r="B6" s="21" t="s">
        <v>80</v>
      </c>
      <c r="C6" s="19">
        <v>4500000</v>
      </c>
      <c r="D6" s="43">
        <f>C6*2</f>
        <v>9000000</v>
      </c>
      <c r="F6" s="3" t="s">
        <v>81</v>
      </c>
    </row>
    <row r="7" spans="2:6" ht="24" x14ac:dyDescent="0.25">
      <c r="B7" s="21" t="s">
        <v>82</v>
      </c>
      <c r="C7" s="19">
        <v>875000</v>
      </c>
      <c r="D7" s="43">
        <f>C7*2</f>
        <v>1750000</v>
      </c>
      <c r="F7" s="3" t="s">
        <v>83</v>
      </c>
    </row>
    <row r="8" spans="2:6" x14ac:dyDescent="0.25">
      <c r="B8" s="21" t="s">
        <v>84</v>
      </c>
      <c r="C8" s="19">
        <v>15000</v>
      </c>
      <c r="D8" s="43">
        <f>C8*2</f>
        <v>30000</v>
      </c>
      <c r="F8" s="3" t="s">
        <v>85</v>
      </c>
    </row>
    <row r="10" spans="2:6" x14ac:dyDescent="0.25">
      <c r="B10" s="21" t="s">
        <v>86</v>
      </c>
      <c r="C10" s="44">
        <f>C8/C7</f>
        <v>1.7142857142857144E-2</v>
      </c>
    </row>
    <row r="11" spans="2:6" x14ac:dyDescent="0.25">
      <c r="B11" s="21" t="s">
        <v>87</v>
      </c>
      <c r="C11" s="44">
        <f>C7/C6</f>
        <v>0.19444444444444445</v>
      </c>
    </row>
    <row r="12" spans="2:6" ht="24" x14ac:dyDescent="0.25">
      <c r="B12" s="45" t="s">
        <v>88</v>
      </c>
      <c r="C12" s="46">
        <f>Proyeccion!C80</f>
        <v>9636.5357463325199</v>
      </c>
      <c r="F12" s="3" t="s">
        <v>89</v>
      </c>
    </row>
    <row r="14" spans="2:6" ht="26.1" customHeight="1" x14ac:dyDescent="0.25">
      <c r="B14" s="47" t="s">
        <v>90</v>
      </c>
      <c r="C14" s="48"/>
      <c r="D14" s="48"/>
    </row>
  </sheetData>
  <mergeCells count="2">
    <mergeCell ref="B3:D3"/>
    <mergeCell ref="B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15"/>
  <sheetViews>
    <sheetView showGridLines="0" workbookViewId="0"/>
  </sheetViews>
  <sheetFormatPr defaultRowHeight="15" x14ac:dyDescent="0.25"/>
  <cols>
    <col min="1" max="1" width="2" customWidth="1"/>
    <col min="2" max="2" width="24" customWidth="1"/>
    <col min="3" max="5" width="16" customWidth="1"/>
    <col min="6" max="6" width="3" customWidth="1"/>
    <col min="7" max="7" width="40" customWidth="1"/>
  </cols>
  <sheetData>
    <row r="2" spans="2:7" ht="18" x14ac:dyDescent="0.25">
      <c r="B2" s="17" t="s">
        <v>91</v>
      </c>
    </row>
    <row r="3" spans="2:7" ht="26.1" customHeight="1" x14ac:dyDescent="0.25">
      <c r="B3" s="47" t="s">
        <v>92</v>
      </c>
      <c r="C3" s="48"/>
      <c r="D3" s="48"/>
      <c r="E3" s="48"/>
    </row>
    <row r="4" spans="2:7" x14ac:dyDescent="0.25">
      <c r="B4" s="18" t="s">
        <v>7</v>
      </c>
      <c r="C4" s="18" t="s">
        <v>8</v>
      </c>
      <c r="D4" s="18" t="s">
        <v>9</v>
      </c>
      <c r="E4" s="18" t="s">
        <v>10</v>
      </c>
    </row>
    <row r="5" spans="2:7" x14ac:dyDescent="0.25">
      <c r="B5" s="21" t="s">
        <v>11</v>
      </c>
      <c r="C5" s="8">
        <f>Proyeccion!F17</f>
        <v>1424.9363429742825</v>
      </c>
      <c r="D5" s="8">
        <f>Proyeccion!F56</f>
        <v>7076.1979172151277</v>
      </c>
      <c r="E5" s="8">
        <f>Proyeccion!F95</f>
        <v>29560.652122339347</v>
      </c>
      <c r="G5" s="3" t="s">
        <v>93</v>
      </c>
    </row>
    <row r="6" spans="2:7" x14ac:dyDescent="0.25">
      <c r="B6" s="21" t="s">
        <v>12</v>
      </c>
      <c r="C6" s="8">
        <f>Proyeccion!F29</f>
        <v>6318.9014759118973</v>
      </c>
      <c r="D6" s="8">
        <f>Proyeccion!F68</f>
        <v>32205.69261918082</v>
      </c>
      <c r="E6" s="8">
        <f>Proyeccion!F107</f>
        <v>141072.23276770528</v>
      </c>
      <c r="G6" s="3" t="s">
        <v>94</v>
      </c>
    </row>
    <row r="7" spans="2:7" x14ac:dyDescent="0.25">
      <c r="B7" s="21" t="s">
        <v>13</v>
      </c>
      <c r="C7" s="8">
        <f>Proyeccion!F41</f>
        <v>18039.405298067159</v>
      </c>
      <c r="D7" s="8">
        <f>Proyeccion!F80</f>
        <v>108742.86332643742</v>
      </c>
      <c r="E7" s="8">
        <f>Proyeccion!F119</f>
        <v>545243.74756784574</v>
      </c>
      <c r="G7" s="3" t="s">
        <v>95</v>
      </c>
    </row>
    <row r="8" spans="2:7" x14ac:dyDescent="0.25">
      <c r="B8" s="21" t="s">
        <v>14</v>
      </c>
      <c r="C8" s="8">
        <f>Proyeccion!G41</f>
        <v>216472.86357680592</v>
      </c>
      <c r="D8" s="8">
        <f>Proyeccion!G80</f>
        <v>1304914.3599172491</v>
      </c>
      <c r="E8" s="8">
        <f>Proyeccion!G119</f>
        <v>6542924.9708141489</v>
      </c>
      <c r="G8" s="3" t="s">
        <v>96</v>
      </c>
    </row>
    <row r="11" spans="2:7" x14ac:dyDescent="0.25">
      <c r="B11" s="41" t="s">
        <v>97</v>
      </c>
    </row>
    <row r="12" spans="2:7" x14ac:dyDescent="0.25">
      <c r="B12" s="18" t="s">
        <v>7</v>
      </c>
      <c r="C12" s="18" t="s">
        <v>8</v>
      </c>
      <c r="D12" s="18" t="s">
        <v>9</v>
      </c>
      <c r="E12" s="18" t="s">
        <v>10</v>
      </c>
    </row>
    <row r="13" spans="2:7" x14ac:dyDescent="0.25">
      <c r="B13" s="21" t="s">
        <v>98</v>
      </c>
      <c r="C13" s="46">
        <f>Proyeccion!D17</f>
        <v>14.612483648405707</v>
      </c>
      <c r="D13" s="46">
        <f>Proyeccion!D56</f>
        <v>73.687367668594476</v>
      </c>
      <c r="E13" s="46">
        <f>Proyeccion!D95</f>
        <v>312.66224678554494</v>
      </c>
    </row>
    <row r="14" spans="2:7" x14ac:dyDescent="0.25">
      <c r="B14" s="21" t="s">
        <v>99</v>
      </c>
      <c r="C14" s="46">
        <f>Proyeccion!D29</f>
        <v>64.799276787282949</v>
      </c>
      <c r="D14" s="46">
        <f>Proyeccion!D68</f>
        <v>335.37116129522877</v>
      </c>
      <c r="E14" s="46">
        <f>Proyeccion!D107</f>
        <v>1492.1173279148054</v>
      </c>
    </row>
    <row r="15" spans="2:7" x14ac:dyDescent="0.25">
      <c r="B15" s="21" t="s">
        <v>100</v>
      </c>
      <c r="C15" s="46">
        <f>Proyeccion!D41</f>
        <v>184.99108135227564</v>
      </c>
      <c r="D15" s="46">
        <f>Proyeccion!D80</f>
        <v>1132.3842895599023</v>
      </c>
      <c r="E15" s="46">
        <f>Proyeccion!D119</f>
        <v>5767.02890229886</v>
      </c>
    </row>
  </sheetData>
  <mergeCells count="1">
    <mergeCell ref="B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Portada</vt:lpstr>
      <vt:lpstr>Supuestos</vt:lpstr>
      <vt:lpstr>Proyeccion</vt:lpstr>
      <vt:lpstr>Unit Economics</vt:lpstr>
      <vt:lpstr>Mercado</vt:lpstr>
      <vt:lpstr>Hitos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Ángel Butrón López</cp:lastModifiedBy>
  <dcterms:created xsi:type="dcterms:W3CDTF">2026-06-08T03:35:29Z</dcterms:created>
  <dcterms:modified xsi:type="dcterms:W3CDTF">2026-06-08T03:35:35Z</dcterms:modified>
</cp:coreProperties>
</file>